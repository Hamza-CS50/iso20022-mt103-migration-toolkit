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Business Case" sheetId="3" state="visible" r:id="rId5"/>
    <sheet name="Results" sheetId="4" state="visible" r:id="rId6"/>
    <sheet name="Findings" sheetId="5" state="visible" r:id="rId7"/>
    <sheet name="Detection Eval" sheetId="6" state="visible" r:id="rId8"/>
    <sheet name="Rule Catalog" sheetId="7" state="visible" r:id="rId9"/>
    <sheet name="Mapping Matrix" sheetId="8" state="visible" r:id="rId10"/>
    <sheet name="Lineage" sheetId="9" state="visible" r:id="rId11"/>
    <sheet name="Lineage Data" sheetId="10" state="visible" r:id="rId12"/>
    <sheet name="Address Data" sheetId="11" state="visible" r:id="rId13"/>
  </sheets>
  <definedNames>
    <definedName function="false" hidden="true" localSheetId="10" name="_xlnm._FilterDatabase" vbProcedure="false">'Address Data'!$A$1:$F$189</definedName>
    <definedName function="false" hidden="true" localSheetId="4" name="_xlnm._FilterDatabase" vbProcedure="false">Findings!$A$1:$F$509</definedName>
    <definedName function="false" hidden="true" localSheetId="9" name="_xlnm._FilterDatabase" vbProcedure="false">'Lineage Data'!$A$1:$E$2892</definedName>
    <definedName function="false" hidden="true" localSheetId="3" name="_xlnm._FilterDatabase" vbProcedure="false">Results!$A$1:$T$101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<sst xmlns="http://schemas.openxmlformats.org/spreadsheetml/2006/main" count="19350" uniqueCount="726">
  <si>
    <t xml:space="preserve">ISO 20022 Legacy-to-MX Migration Toolkit - Excel companion</t>
  </si>
  <si>
    <t xml:space="preserve">What this is: the analysis workbook for the Python toolkit that converts SWIFT MT103 payments into ISO 20022 pacs.008.001.08, validates them, and measures what the migration gains, loses or guesses.</t>
  </si>
  <si>
    <t xml:space="preserve">Data: 100 fully synthetic MT103 messages (Pakistan-centred corridors). 46 carry exactly one injected defect so detection can be measured. All names, accounts and BICs are invented.</t>
  </si>
  <si>
    <t xml:space="preserve">Sheets</t>
  </si>
  <si>
    <t xml:space="preserve">  Summary - headline KPIs, status/category charts, scenario and address tables (all formulas).</t>
  </si>
  <si>
    <t xml:space="preserve">  Results - one row per message (toolkit output). Findings - every rule hit. Lineage Data / Address Data - raw rows behind the pivots.</t>
  </si>
  <si>
    <t xml:space="preserve">  Detection Eval - ground-truth check: was each injected defect caught by the rule that should catch it? Recall by defect type.</t>
  </si>
  <si>
    <t xml:space="preserve">  Rule Catalog - all rules with severity and how often each fired. Mapping Matrix - MT103 field -&gt; ISO 20022 element, with gain / guess / loss.</t>
  </si>
  <si>
    <t xml:space="preserve">  Lineage - provenance of every ISO value (DIRECT, CODE, PARSED, INFERRED, FREETEXT). Business Case - 5-year NPV/IRR model with sensitivity.</t>
  </si>
  <si>
    <t xml:space="preserve">Colour code (financial-model convention): blue text = input you may change; black = formula; green = link to another sheet; yellow fill = scenario selector.</t>
  </si>
  <si>
    <t xml:space="preserve">To re-run the pipeline: python -m mt2iso generate &amp;&amp; python -m mt2iso batch &amp;&amp; python scripts/build_dashboard.py</t>
  </si>
  <si>
    <t xml:space="preserve">Important limits: the dataset is a stress test, not a sample of real traffic; the XSD is a subset authored from the published pacs.008.001.08 structure (validate against the official XSD before production);</t>
  </si>
  <si>
    <t xml:space="preserve">business-case inputs are illustrative placeholders and must be replaced with bank data.</t>
  </si>
  <si>
    <t xml:space="preserve">Source for the deadline referenced in rule BR_ADDR_TWN_CTRY: Swift, 'Removal of unstructured address' (unstructured addresses NAK'd under CBPR+ from 14 November 2026).</t>
  </si>
  <si>
    <t xml:space="preserve">ISO 20022 Migration Toolkit - Results Dashboard</t>
  </si>
  <si>
    <t xml:space="preserve">Every figure below is a live formula over the Results / Findings / Lineage / Address sheets (output of the Python pipeline on the synthetic stress-test dataset).</t>
  </si>
  <si>
    <t xml:space="preserve">Headline KPIs</t>
  </si>
  <si>
    <t xml:space="preserve">Messages processed</t>
  </si>
  <si>
    <t xml:space="preserve">Converted &amp; clean (no findings above INFO)</t>
  </si>
  <si>
    <t xml:space="preserve">Converted with warnings</t>
  </si>
  <si>
    <t xml:space="preserve">Converted but failed validation (needs repair)</t>
  </si>
  <si>
    <t xml:space="preserve">Rejected at parse (no ISO message produced)</t>
  </si>
  <si>
    <t xml:space="preserve">Straight-through rate (clean + warnings)</t>
  </si>
  <si>
    <t xml:space="preserve">Repair rate (failed + rejected)</t>
  </si>
  <si>
    <t xml:space="preserve">Average quality score (0-100)</t>
  </si>
  <si>
    <t xml:space="preserve">ISO leaf elements: deterministic (DIRECT+CODE)</t>
  </si>
  <si>
    <t xml:space="preserve">ISO leaf elements: heuristic (PARSED)</t>
  </si>
  <si>
    <t xml:space="preserve">ISO leaf elements: inferred (not in MT103)</t>
  </si>
  <si>
    <t xml:space="preserve">ISO leaf elements: free text carried over</t>
  </si>
  <si>
    <t xml:space="preserve">Injected defects</t>
  </si>
  <si>
    <t xml:space="preserve">Injected defects detected by expected rule</t>
  </si>
  <si>
    <t xml:space="preserve">Detection recall</t>
  </si>
  <si>
    <t xml:space="preserve">False alarms: messages with NO injected defect but an ERROR</t>
  </si>
  <si>
    <t xml:space="preserve">Parties with town+country in output (CBPR+ Nov-2026 ready)</t>
  </si>
  <si>
    <t xml:space="preserve">Parties with street/building structured</t>
  </si>
  <si>
    <t xml:space="preserve">Status distribution</t>
  </si>
  <si>
    <t xml:space="preserve">Status</t>
  </si>
  <si>
    <t xml:space="preserve">Messages</t>
  </si>
  <si>
    <t xml:space="preserve">Share</t>
  </si>
  <si>
    <t xml:space="preserve">PASS_CLEAN</t>
  </si>
  <si>
    <t xml:space="preserve">PASS_WITH_WARNINGS</t>
  </si>
  <si>
    <t xml:space="preserve">FAILED_VALIDATION</t>
  </si>
  <si>
    <t xml:space="preserve">REJECTED</t>
  </si>
  <si>
    <t xml:space="preserve">Findings by category</t>
  </si>
  <si>
    <t xml:space="preserve">Category</t>
  </si>
  <si>
    <t xml:space="preserve">Findings</t>
  </si>
  <si>
    <t xml:space="preserve">SYNTAX</t>
  </si>
  <si>
    <t xml:space="preserve">SCHEMA</t>
  </si>
  <si>
    <t xml:space="preserve">BUSINESS</t>
  </si>
  <si>
    <t xml:space="preserve">ADDRESS</t>
  </si>
  <si>
    <t xml:space="preserve">DATA_LOSS</t>
  </si>
  <si>
    <t xml:space="preserve">INFERENCE</t>
  </si>
  <si>
    <t xml:space="preserve">ENRICHMENT</t>
  </si>
  <si>
    <t xml:space="preserve">Outcome by business scenario</t>
  </si>
  <si>
    <t xml:space="preserve">Scenario</t>
  </si>
  <si>
    <t xml:space="preserve">Clean</t>
  </si>
  <si>
    <t xml:space="preserve">Warnings</t>
  </si>
  <si>
    <t xml:space="preserve">Failed</t>
  </si>
  <si>
    <t xml:space="preserve">Rejected</t>
  </si>
  <si>
    <t xml:space="preserve">Repair rate</t>
  </si>
  <si>
    <t xml:space="preserve">Scenario key</t>
  </si>
  <si>
    <t xml:space="preserve">S1</t>
  </si>
  <si>
    <t xml:space="preserve">S1 Inbound worker remittance</t>
  </si>
  <si>
    <t xml:space="preserve">S2</t>
  </si>
  <si>
    <t xml:space="preserve">S2 Inbound trade</t>
  </si>
  <si>
    <t xml:space="preserve">S3</t>
  </si>
  <si>
    <t xml:space="preserve">S3 Outbound trade</t>
  </si>
  <si>
    <t xml:space="preserve">S4</t>
  </si>
  <si>
    <t xml:space="preserve">S4 Services</t>
  </si>
  <si>
    <t xml:space="preserve">Address structuring by party country (heuristic parser)</t>
  </si>
  <si>
    <t xml:space="preserve">Country</t>
  </si>
  <si>
    <t xml:space="preserve">Parties</t>
  </si>
  <si>
    <t xml:space="preserve">Town+Country found</t>
  </si>
  <si>
    <t xml:space="preserve">Street structured</t>
  </si>
  <si>
    <t xml:space="preserve">Town+Country %</t>
  </si>
  <si>
    <t xml:space="preserve">Street %</t>
  </si>
  <si>
    <t xml:space="preserve">AE</t>
  </si>
  <si>
    <t xml:space="preserve">CN</t>
  </si>
  <si>
    <t xml:space="preserve">DE</t>
  </si>
  <si>
    <t xml:space="preserve">GB</t>
  </si>
  <si>
    <t xml:space="preserve">PK</t>
  </si>
  <si>
    <t xml:space="preserve">SA</t>
  </si>
  <si>
    <t xml:space="preserve">SG</t>
  </si>
  <si>
    <t xml:space="preserve">US</t>
  </si>
  <si>
    <t xml:space="preserve">Business case - migrating a mid-size bank's cross-border flows to ISO 20022 data quality</t>
  </si>
  <si>
    <t xml:space="preserve">ALL inputs are ILLUSTRATIVE assumptions (blue). Replace them with the bank's own volumes, repair logs and screening statistics. They are not derived from the toolkit's synthetic data.</t>
  </si>
  <si>
    <t xml:space="preserve">Scenario selector (1 = Conservative, 2 = Base, 3 = Optimistic)  &gt;&gt;</t>
  </si>
  <si>
    <t xml:space="preserve">Input</t>
  </si>
  <si>
    <t xml:space="preserve">Conservative</t>
  </si>
  <si>
    <t xml:space="preserve">Base</t>
  </si>
  <si>
    <t xml:space="preserve">Optimistic</t>
  </si>
  <si>
    <t xml:space="preserve">ACTIVE</t>
  </si>
  <si>
    <t xml:space="preserve">Unit / how to read</t>
  </si>
  <si>
    <t xml:space="preserve">Cross-border payments per year</t>
  </si>
  <si>
    <t xml:space="preserve">messages</t>
  </si>
  <si>
    <t xml:space="preserve">Manual repair rate today</t>
  </si>
  <si>
    <t xml:space="preserve">share of messages touched by an operator</t>
  </si>
  <si>
    <t xml:space="preserve">Relative cut in repairs after migration</t>
  </si>
  <si>
    <t xml:space="preserve">structured data reduces free-text fixing</t>
  </si>
  <si>
    <t xml:space="preserve">Cost per manual repair</t>
  </si>
  <si>
    <t xml:space="preserve">USD per repaired message (staff time)</t>
  </si>
  <si>
    <t xml:space="preserve">Sanctions-screening alert rate</t>
  </si>
  <si>
    <t xml:space="preserve">share of messages generating an alert</t>
  </si>
  <si>
    <t xml:space="preserve">Relative cut in false-positive alerts</t>
  </si>
  <si>
    <t xml:space="preserve">better name/address fields reduce fuzzy matches</t>
  </si>
  <si>
    <t xml:space="preserve">Cost per alert review</t>
  </si>
  <si>
    <t xml:space="preserve">USD per alert (analyst time)</t>
  </si>
  <si>
    <t xml:space="preserve">One-off migration cost</t>
  </si>
  <si>
    <t xml:space="preserve">USD: mapping, integration, testing, training (year 0)</t>
  </si>
  <si>
    <t xml:space="preserve">Annual run cost</t>
  </si>
  <si>
    <t xml:space="preserve">USD per year: licences, support, monitoring</t>
  </si>
  <si>
    <t xml:space="preserve">Discount rate</t>
  </si>
  <si>
    <t xml:space="preserve">cost of capital</t>
  </si>
  <si>
    <t xml:space="preserve">Volume growth</t>
  </si>
  <si>
    <t xml:space="preserve">per year</t>
  </si>
  <si>
    <t xml:space="preserve">Payments with unstructured address today</t>
  </si>
  <si>
    <t xml:space="preserve">share. Base echoes Swift's published network-wide July 2026 level (about 58-59%); a bank's own share will differ</t>
  </si>
  <si>
    <t xml:space="preserve">Share of those NAK'd if not remediated</t>
  </si>
  <si>
    <t xml:space="preserve">payments Swift would reject from 14 Nov 2026 and not fixed upstream</t>
  </si>
  <si>
    <t xml:space="preserve">Cost per NAK'd payment</t>
  </si>
  <si>
    <t xml:space="preserve">USD: investigation, resubmission, customer compensation</t>
  </si>
  <si>
    <t xml:space="preserve">Five-year cash-flow model (USD)</t>
  </si>
  <si>
    <t xml:space="preserve">Year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</si>
  <si>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</si>
  <si>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</si>
  <si>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</si>
  <si>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</si>
  <si>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</si>
  <si>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</si>
  <si>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Year index</t>
  </si>
  <si>
    <t xml:space="preserve">Payments (messages)</t>
  </si>
  <si>
    <t xml:space="preserve">Operational saving: fewer manual repairs</t>
  </si>
  <si>
    <t xml:space="preserve">Operational saving: fewer false-positive alerts</t>
  </si>
  <si>
    <t xml:space="preserve">Avoided cost: payments no longer NAK'd</t>
  </si>
  <si>
    <t xml:space="preserve">Total benefit</t>
  </si>
  <si>
    <t xml:space="preserve">Run cost</t>
  </si>
  <si>
    <t xml:space="preserve">Net cash flow</t>
  </si>
  <si>
    <t xml:space="preserve">Discount factor</t>
  </si>
  <si>
    <t xml:space="preserve">Present value of net cash flow</t>
  </si>
  <si>
    <t xml:space="preserve">Cumulative net cash flow (undiscounted)</t>
  </si>
  <si>
    <t xml:space="preserve">Payback flag (1 = cumulative &gt;= 0)</t>
  </si>
  <si>
    <t xml:space="preserve">Key results</t>
  </si>
  <si>
    <t xml:space="preserve">Net present value, all benefits (USD)</t>
  </si>
  <si>
    <t xml:space="preserve">Net present value, operational savings ONLY (USD)</t>
  </si>
  <si>
    <t xml:space="preserve">IRR (all benefits)</t>
  </si>
  <si>
    <t xml:space="preserve">Payback year (cumulative cash turns positive)</t>
  </si>
  <si>
    <t xml:space="preserve">5-year ROI ((benefits - costs) / costs)</t>
  </si>
  <si>
    <t xml:space="preserve">Share of 5-year benefits that is avoided NAK cost</t>
  </si>
  <si>
    <t xml:space="preserve">Reference only: repair rate in the toolkit's synthetic stress test (46% of messages carry an injected defect; NOT a prediction for real flows)</t>
  </si>
  <si>
    <t xml:space="preserve">Stress-test repair rate</t>
  </si>
  <si>
    <t xml:space="preserve">Sensitivity A - NPV (USD): annual volume (rows) vs relative cut in repairs (columns); all other inputs = ACTIVE</t>
  </si>
  <si>
    <t xml:space="preserve">Volume \ repair cut</t>
  </si>
  <si>
    <t xml:space="preserve">Sensitivity B - NPV (USD): share of unstructured-address payments NAK'd (rows) vs cost per NAK'd payment (columns); all other inputs = ACTIVE</t>
  </si>
  <si>
    <t xml:space="preserve">NAK share \ cost per NAK</t>
  </si>
  <si>
    <t xml:space="preserve">Colour code: blue = input, black = formula, green = link to another sheet, yellow = scenario selector. Reading the result: operational savings alone rarely repay a migration; the case rests on avoiding rejected payments after the Swift deadline, which is why that assumption is isolated and stress-tested in Sensitivity B.</t>
  </si>
  <si>
    <t xml:space="preserve">Msg ID</t>
  </si>
  <si>
    <t xml:space="preserve">Corridor</t>
  </si>
  <si>
    <t xml:space="preserve">Ccy</t>
  </si>
  <si>
    <t xml:space="preserve">Amount</t>
  </si>
  <si>
    <t xml:space="preserve">Injected defect</t>
  </si>
  <si>
    <t xml:space="preserve">Quality score</t>
  </si>
  <si>
    <t xml:space="preserve">Errors</t>
  </si>
  <si>
    <t xml:space="preserve">Inferences</t>
  </si>
  <si>
    <t xml:space="preserve">Data-loss flags</t>
  </si>
  <si>
    <t xml:space="preserve">Enrichments</t>
  </si>
  <si>
    <t xml:space="preserve">ISO leaf elements</t>
  </si>
  <si>
    <t xml:space="preserve">DIRECT</t>
  </si>
  <si>
    <t xml:space="preserve">CODE</t>
  </si>
  <si>
    <t xml:space="preserve">PARSED</t>
  </si>
  <si>
    <t xml:space="preserve">INFERRED</t>
  </si>
  <si>
    <t xml:space="preserve">FREETEXT</t>
  </si>
  <si>
    <t xml:space="preserve">Injected?</t>
  </si>
  <si>
    <t xml:space="preserve">MSG001</t>
  </si>
  <si>
    <t xml:space="preserve">CN&gt;PK</t>
  </si>
  <si>
    <t xml:space="preserve">JPY</t>
  </si>
  <si>
    <t xml:space="preserve">D10_JPY_DECIMALS</t>
  </si>
  <si>
    <t xml:space="preserve">MSG002</t>
  </si>
  <si>
    <t xml:space="preserve">GB&gt;PK</t>
  </si>
  <si>
    <t xml:space="preserve">GBP</t>
  </si>
  <si>
    <t xml:space="preserve">MSG003</t>
  </si>
  <si>
    <t xml:space="preserve">USD</t>
  </si>
  <si>
    <t xml:space="preserve">MSG004</t>
  </si>
  <si>
    <t xml:space="preserve">US&gt;PK</t>
  </si>
  <si>
    <t xml:space="preserve">MSG005</t>
  </si>
  <si>
    <t xml:space="preserve">AE&gt;PK</t>
  </si>
  <si>
    <t xml:space="preserve">MSG006</t>
  </si>
  <si>
    <t xml:space="preserve">D03_BIC_FORMAT</t>
  </si>
  <si>
    <t xml:space="preserve">MSG007</t>
  </si>
  <si>
    <t xml:space="preserve">DE&gt;PK</t>
  </si>
  <si>
    <t xml:space="preserve">EUR</t>
  </si>
  <si>
    <t xml:space="preserve">MSG008</t>
  </si>
  <si>
    <t xml:space="preserve">PK&gt;DE</t>
  </si>
  <si>
    <t xml:space="preserve">MSG009</t>
  </si>
  <si>
    <t xml:space="preserve">PK&gt;CN</t>
  </si>
  <si>
    <t xml:space="preserve">CNY</t>
  </si>
  <si>
    <t xml:space="preserve">D16_FX_NO_RATE</t>
  </si>
  <si>
    <t xml:space="preserve">MSG010</t>
  </si>
  <si>
    <t xml:space="preserve">D06_ADDR_NO_COUNTRY</t>
  </si>
  <si>
    <t xml:space="preserve">MSG011</t>
  </si>
  <si>
    <t xml:space="preserve">PK&gt;GB</t>
  </si>
  <si>
    <t xml:space="preserve">MSG012</t>
  </si>
  <si>
    <t xml:space="preserve">MSG013</t>
  </si>
  <si>
    <t xml:space="preserve">D12_BAD_DATE</t>
  </si>
  <si>
    <t xml:space="preserve">MSG014</t>
  </si>
  <si>
    <t xml:space="preserve">D22_NON_IBAN_PK_ACCOUNT</t>
  </si>
  <si>
    <t xml:space="preserve">MSG015</t>
  </si>
  <si>
    <t xml:space="preserve">PK&gt;AE</t>
  </si>
  <si>
    <t xml:space="preserve">D01_IBAN_CHECKSUM</t>
  </si>
  <si>
    <t xml:space="preserve">MSG016</t>
  </si>
  <si>
    <t xml:space="preserve">MSG017</t>
  </si>
  <si>
    <t xml:space="preserve">MSG018</t>
  </si>
  <si>
    <t xml:space="preserve">PK&gt;US</t>
  </si>
  <si>
    <t xml:space="preserve">MSG019</t>
  </si>
  <si>
    <t xml:space="preserve">D18_IBAN_COUNTRY_MISMATCH</t>
  </si>
  <si>
    <t xml:space="preserve">MSG020</t>
  </si>
  <si>
    <t xml:space="preserve">AED</t>
  </si>
  <si>
    <t xml:space="preserve">MSG021</t>
  </si>
  <si>
    <t xml:space="preserve">D15_CHARGE_RULE</t>
  </si>
  <si>
    <t xml:space="preserve">MSG022</t>
  </si>
  <si>
    <t xml:space="preserve">SA&gt;PK</t>
  </si>
  <si>
    <t xml:space="preserve">SAR</t>
  </si>
  <si>
    <t xml:space="preserve">MSG023</t>
  </si>
  <si>
    <t xml:space="preserve">D08_NAME_AT_35</t>
  </si>
  <si>
    <t xml:space="preserve">MSG024</t>
  </si>
  <si>
    <t xml:space="preserve">D09_REMIT_FULL</t>
  </si>
  <si>
    <t xml:space="preserve">MSG025</t>
  </si>
  <si>
    <t xml:space="preserve">MSG026</t>
  </si>
  <si>
    <t xml:space="preserve">MSG027</t>
  </si>
  <si>
    <t xml:space="preserve">MSG028</t>
  </si>
  <si>
    <t xml:space="preserve">MSG029</t>
  </si>
  <si>
    <t xml:space="preserve">MSG030</t>
  </si>
  <si>
    <t xml:space="preserve">MSG031</t>
  </si>
  <si>
    <t xml:space="preserve">MSG032</t>
  </si>
  <si>
    <t xml:space="preserve">MSG033</t>
  </si>
  <si>
    <t xml:space="preserve">XYZ</t>
  </si>
  <si>
    <t xml:space="preserve">D11_UNKNOWN_CCY</t>
  </si>
  <si>
    <t xml:space="preserve">MSG034</t>
  </si>
  <si>
    <t xml:space="preserve">MSG035</t>
  </si>
  <si>
    <t xml:space="preserve">D17_WEEKEND_DATE</t>
  </si>
  <si>
    <t xml:space="preserve">MSG036</t>
  </si>
  <si>
    <t xml:space="preserve">MSG037</t>
  </si>
  <si>
    <t xml:space="preserve">PK&gt;SG</t>
  </si>
  <si>
    <t xml:space="preserve">MSG038</t>
  </si>
  <si>
    <t xml:space="preserve">MSG039</t>
  </si>
  <si>
    <t xml:space="preserve">MSG040</t>
  </si>
  <si>
    <t xml:space="preserve">MSG041</t>
  </si>
  <si>
    <t xml:space="preserve">MSG042</t>
  </si>
  <si>
    <t xml:space="preserve">MSG043</t>
  </si>
  <si>
    <t xml:space="preserve">MSG044</t>
  </si>
  <si>
    <t xml:space="preserve">MSG045</t>
  </si>
  <si>
    <t xml:space="preserve">D02_IBAN_LENGTH</t>
  </si>
  <si>
    <t xml:space="preserve">MSG046</t>
  </si>
  <si>
    <t xml:space="preserve">MSG047</t>
  </si>
  <si>
    <t xml:space="preserve">MSG048</t>
  </si>
  <si>
    <t xml:space="preserve">MSG049</t>
  </si>
  <si>
    <t xml:space="preserve">MSG050</t>
  </si>
  <si>
    <t xml:space="preserve">MSG051</t>
  </si>
  <si>
    <t xml:space="preserve">MSG052</t>
  </si>
  <si>
    <t xml:space="preserve">MSG053</t>
  </si>
  <si>
    <t xml:space="preserve">MSG054</t>
  </si>
  <si>
    <t xml:space="preserve">D19_MISSING_MANDATORY</t>
  </si>
  <si>
    <t xml:space="preserve">MSG055</t>
  </si>
  <si>
    <t xml:space="preserve">MSG056</t>
  </si>
  <si>
    <t xml:space="preserve">MSG057</t>
  </si>
  <si>
    <t xml:space="preserve">MSG058</t>
  </si>
  <si>
    <t xml:space="preserve">D13_AMOUNT_NO_COMMA</t>
  </si>
  <si>
    <t xml:space="preserve">MSG059</t>
  </si>
  <si>
    <t xml:space="preserve">MSG060</t>
  </si>
  <si>
    <t xml:space="preserve">SG&gt;PK</t>
  </si>
  <si>
    <t xml:space="preserve">MSG061</t>
  </si>
  <si>
    <t xml:space="preserve">MSG062</t>
  </si>
  <si>
    <t xml:space="preserve">MSG063</t>
  </si>
  <si>
    <t xml:space="preserve">MSG064</t>
  </si>
  <si>
    <t xml:space="preserve">MSG065</t>
  </si>
  <si>
    <t xml:space="preserve">MSG066</t>
  </si>
  <si>
    <t xml:space="preserve">MSG067</t>
  </si>
  <si>
    <t xml:space="preserve">MSG068</t>
  </si>
  <si>
    <t xml:space="preserve">D07_ADDR_TOWN_ONLY</t>
  </si>
  <si>
    <t xml:space="preserve">MSG069</t>
  </si>
  <si>
    <t xml:space="preserve">MSG070</t>
  </si>
  <si>
    <t xml:space="preserve">MSG071</t>
  </si>
  <si>
    <t xml:space="preserve">MSG072</t>
  </si>
  <si>
    <t xml:space="preserve">MSG073</t>
  </si>
  <si>
    <t xml:space="preserve">MSG074</t>
  </si>
  <si>
    <t xml:space="preserve">MSG075</t>
  </si>
  <si>
    <t xml:space="preserve">MSG076</t>
  </si>
  <si>
    <t xml:space="preserve">MSG077</t>
  </si>
  <si>
    <t xml:space="preserve">MSG078</t>
  </si>
  <si>
    <t xml:space="preserve">MSG079</t>
  </si>
  <si>
    <t xml:space="preserve">MSG080</t>
  </si>
  <si>
    <t xml:space="preserve">MSG081</t>
  </si>
  <si>
    <t xml:space="preserve">MSG082</t>
  </si>
  <si>
    <t xml:space="preserve">MSG083</t>
  </si>
  <si>
    <t xml:space="preserve">MSG084</t>
  </si>
  <si>
    <t xml:space="preserve">MSG085</t>
  </si>
  <si>
    <t xml:space="preserve">MSG086</t>
  </si>
  <si>
    <t xml:space="preserve">MSG087</t>
  </si>
  <si>
    <t xml:space="preserve">MSG088</t>
  </si>
  <si>
    <t xml:space="preserve">MSG089</t>
  </si>
  <si>
    <t xml:space="preserve">MSG090</t>
  </si>
  <si>
    <t xml:space="preserve">MSG091</t>
  </si>
  <si>
    <t xml:space="preserve">MSG092</t>
  </si>
  <si>
    <t xml:space="preserve">MSG093</t>
  </si>
  <si>
    <t xml:space="preserve">MSG094</t>
  </si>
  <si>
    <t xml:space="preserve">MSG095</t>
  </si>
  <si>
    <t xml:space="preserve">MSG096</t>
  </si>
  <si>
    <t xml:space="preserve">MSG097</t>
  </si>
  <si>
    <t xml:space="preserve">MSG098</t>
  </si>
  <si>
    <t xml:space="preserve">MSG099</t>
  </si>
  <si>
    <t xml:space="preserve">MSG100</t>
  </si>
  <si>
    <t xml:space="preserve">Rule ID</t>
  </si>
  <si>
    <t xml:space="preserve">Severity</t>
  </si>
  <si>
    <t xml:space="preserve">Element / field</t>
  </si>
  <si>
    <t xml:space="preserve">Message</t>
  </si>
  <si>
    <t xml:space="preserve">BR_AMT_DECIMALS</t>
  </si>
  <si>
    <t xml:space="preserve">ERROR</t>
  </si>
  <si>
    <t xml:space="preserve">/*/*/*[2]/*[2]</t>
  </si>
  <si>
    <t xml:space="preserve">JPY allows 0 decimals but amount is 259137.50</t>
  </si>
  <si>
    <t xml:space="preserve">BR_E2E_NOTPROVIDED</t>
  </si>
  <si>
    <t xml:space="preserve">INFO</t>
  </si>
  <si>
    <t xml:space="preserve">CdtTrfTxInf/PmtId/EndToEndId</t>
  </si>
  <si>
    <t xml:space="preserve">No /ROC/ originator reference in :70:</t>
  </si>
  <si>
    <t xml:space="preserve">INF_UETR_GENERATED</t>
  </si>
  <si>
    <t xml:space="preserve">WARNING</t>
  </si>
  <si>
    <t xml:space="preserve">CdtTrfTxInf/PmtId/UETR</t>
  </si>
  <si>
    <t xml:space="preserve">MT103 carries no UETR; a new one was minted, so the payment cannot be tracked end-to-end</t>
  </si>
  <si>
    <t xml:space="preserve">INF_CHRG_AGENT_INFERRED</t>
  </si>
  <si>
    <t xml:space="preserve">CdtTrfTxInf/ChrgsInf/Agt</t>
  </si>
  <si>
    <t xml:space="preserve">:71F: does not say which bank levied the charge; SHNGCNSHXXX was assumed</t>
  </si>
  <si>
    <t xml:space="preserve">GAIN_STRUCT_ADDR</t>
  </si>
  <si>
    <t xml:space="preserve">CdtTrfTxInf/Dbtr/PstlAdr</t>
  </si>
  <si>
    <t xml:space="preserve">Town and country extracted from free text into structured elements (CBPR+ hybrid-ready)</t>
  </si>
  <si>
    <t xml:space="preserve">INF_CDTRAGT_INFERRED</t>
  </si>
  <si>
    <t xml:space="preserve">CdtTrfTxInf/CdtrAgt</t>
  </si>
  <si>
    <t xml:space="preserve">No :57a: account-with institution; the receiving bank was assumed to be the creditor agent</t>
  </si>
  <si>
    <t xml:space="preserve">CdtTrfTxInf/Cdtr/PstlAdr</t>
  </si>
  <si>
    <t xml:space="preserve">GAIN_STRUCT_RMT</t>
  </si>
  <si>
    <t xml:space="preserve">CdtTrfTxInf/RmtInf/Strd/RfrdDocInf</t>
  </si>
  <si>
    <t xml:space="preserve">Invoice number recovered from /INV/ code word into a structured, machine-readable element</t>
  </si>
  <si>
    <t xml:space="preserve">INF_DBTRAGT_INFERRED</t>
  </si>
  <si>
    <t xml:space="preserve">CdtTrfTxInf/DbtrAgt</t>
  </si>
  <si>
    <t xml:space="preserve">No :52a: ordering institution; the sending bank was assumed to be the debtor agent</t>
  </si>
  <si>
    <t xml:space="preserve">:71G: does not say which bank levied the charge; KRDBPKKAXXX was assumed</t>
  </si>
  <si>
    <t xml:space="preserve">BR_BIC_CTRY</t>
  </si>
  <si>
    <t xml:space="preserve">/*/*/*[2]/*[11]/*/*</t>
  </si>
  <si>
    <t xml:space="preserve">BIC 'KRDBXXKAXXX' has invalid country code 'XX'</t>
  </si>
  <si>
    <t xml:space="preserve">:71F: does not say which bank levied the charge; KRDBPKKAXXX was assumed</t>
  </si>
  <si>
    <t xml:space="preserve">BR_FX_RATE_MISSING</t>
  </si>
  <si>
    <t xml:space="preserve">:33B:/:36:</t>
  </si>
  <si>
    <t xml:space="preserve">33B currency differs from 32A currency but :36: exchange rate is absent</t>
  </si>
  <si>
    <t xml:space="preserve">BR_ADDR_TWN_CTRY</t>
  </si>
  <si>
    <t xml:space="preserve">Cdtr address lacks TwnNm and Ctry; unstructured addresses are rejected by CBPR+ from 14 Nov 2026</t>
  </si>
  <si>
    <t xml:space="preserve">CdtTrfTxInf/RmtInf/Strd/CdtrRefInf</t>
  </si>
  <si>
    <t xml:space="preserve">Beneficiary reference recovered from /RFB/ code word into a structured element</t>
  </si>
  <si>
    <t xml:space="preserve">SX_DATE_INVALID</t>
  </si>
  <si>
    <t xml:space="preserve">:32A:</t>
  </si>
  <si>
    <t xml:space="preserve">Value date 261331 is not a real calendar date</t>
  </si>
  <si>
    <t xml:space="preserve">BR_NON_IBAN_ACCT</t>
  </si>
  <si>
    <t xml:space="preserve">CdtTrfTxInf/CdtrAcct</t>
  </si>
  <si>
    <t xml:space="preserve">Creditor account in Pakistan is a local account number, not an IBAN</t>
  </si>
  <si>
    <t xml:space="preserve">BR_IBAN_CHK</t>
  </si>
  <si>
    <t xml:space="preserve">/*/*/*[2]/*[12]/*/*</t>
  </si>
  <si>
    <t xml:space="preserve">IBAN 'AE693430805668249936577' fails the mod-97 check digit test</t>
  </si>
  <si>
    <t xml:space="preserve">:71F: does not say which bank levied the charge; HSTNUS44XXX was assumed</t>
  </si>
  <si>
    <t xml:space="preserve">BR_IBAN_ADDR_MISMATCH</t>
  </si>
  <si>
    <t xml:space="preserve">Cdtr IBAN country PK differs from address country AE</t>
  </si>
  <si>
    <t xml:space="preserve">BR_CHRG_RULE</t>
  </si>
  <si>
    <t xml:space="preserve">:71A:/:71F:</t>
  </si>
  <si>
    <t xml:space="preserve">With 71A=OUR, field 71F (sender's charges) is not allowed</t>
  </si>
  <si>
    <t xml:space="preserve">DL_NAME_TRUNC_SUSPECT</t>
  </si>
  <si>
    <t xml:space="preserve">CdtTrfTxInf/Cdtr/Nm</t>
  </si>
  <si>
    <t xml:space="preserve">Name fills the whole 35-character MT line; the original legal name may already have been cut off upstream</t>
  </si>
  <si>
    <t xml:space="preserve">DL_RMT_TRUNC_SUSPECT</t>
  </si>
  <si>
    <t xml:space="preserve">:70:</t>
  </si>
  <si>
    <t xml:space="preserve">All four 35-character lines are used; sender text was probably cut off at the MT limit</t>
  </si>
  <si>
    <t xml:space="preserve">:71G: does not say which bank levied the charge; ISBTPKKAXXX was assumed</t>
  </si>
  <si>
    <t xml:space="preserve">Dbtr address lacks TwnNm and Ctry; unstructured addresses are rejected by CBPR+ from 14 Nov 2026</t>
  </si>
  <si>
    <t xml:space="preserve">:71F: does not say which bank levied the charge; NYCBUS33XXX was assumed</t>
  </si>
  <si>
    <t xml:space="preserve">BR_CCY_UNKNOWN</t>
  </si>
  <si>
    <t xml:space="preserve">/*/*/*[2]/*[3]</t>
  </si>
  <si>
    <t xml:space="preserve">Currency 'XYZ' is not a recognised ISO 4217 code</t>
  </si>
  <si>
    <t xml:space="preserve">BR_VALUE_DATE_WEEKEND</t>
  </si>
  <si>
    <t xml:space="preserve">2026-10-11 is a weekend day</t>
  </si>
  <si>
    <t xml:space="preserve">:71F: does not say which bank levied the charge; ISBTPKKAXXX was assumed</t>
  </si>
  <si>
    <t xml:space="preserve">XSD_001</t>
  </si>
  <si>
    <t xml:space="preserve">Element 'BICFI': [facet 'pattern'] The value 'KRDBPKKAXX' is not accepted by the pattern '[A-Z0-9]{4,4}[A-Z]{2,2}[A-Z0-9]{2,2}([A-Z0-9]{3,3}){0,1}'.</t>
  </si>
  <si>
    <t xml:space="preserve">BR_BIC_FMT</t>
  </si>
  <si>
    <t xml:space="preserve">'KRDBPKKAXX' is not a valid BIC</t>
  </si>
  <si>
    <t xml:space="preserve">:71F: does not say which bank levied the charge; LHRNPKLAXXX was assumed</t>
  </si>
  <si>
    <t xml:space="preserve">:71G: does not say which bank levied the charge; LHRNPKLAXXX was assumed</t>
  </si>
  <si>
    <t xml:space="preserve">/*/*/*[2]/*[14]/*/*</t>
  </si>
  <si>
    <t xml:space="preserve">IBAN 'PK93ZJMJ1136330723450865' fails the mod-97 check digit test</t>
  </si>
  <si>
    <t xml:space="preserve">/*/*/*[2]/*[4]</t>
  </si>
  <si>
    <t xml:space="preserve">2026-10-04 is a weekend day</t>
  </si>
  <si>
    <t xml:space="preserve">BR_IBAN_LEN</t>
  </si>
  <si>
    <t xml:space="preserve">/*/*/*[2]/*[15]/*/*</t>
  </si>
  <si>
    <t xml:space="preserve">IBAN 'PK04XXBA46159012476159791' has 25 chars; PK IBANs must have a fixed registry length</t>
  </si>
  <si>
    <t xml:space="preserve">IBAN 'PK04XXBA46159012476159791' fails the mod-97 check digit test</t>
  </si>
  <si>
    <t xml:space="preserve">:71F: does not say which bank levied the charge; JDDHSAJEXXX was assumed</t>
  </si>
  <si>
    <t xml:space="preserve">/*/*/*[2]/*[13]/*/*</t>
  </si>
  <si>
    <t xml:space="preserve">IBAN 'PK18JCUH9954067118419483' fails the mod-97 check digit test</t>
  </si>
  <si>
    <t xml:space="preserve">SX_MISSING_FIELD</t>
  </si>
  <si>
    <t xml:space="preserve">:59:</t>
  </si>
  <si>
    <t xml:space="preserve">Mandatory field :59: is missing</t>
  </si>
  <si>
    <t xml:space="preserve">SX_AMOUNT_FORMAT</t>
  </si>
  <si>
    <t xml:space="preserve">Field 32A '261005USD3911' malformed (YYMMDD + CCY + amount with decimal comma)</t>
  </si>
  <si>
    <t xml:space="preserve">:71F: does not say which bank levied the charge; SGCMSGSGXXX was assumed</t>
  </si>
  <si>
    <t xml:space="preserve">Field 32A '261022USD72478' malformed (YYMMDD + CCY + amount with decimal comma)</t>
  </si>
  <si>
    <t xml:space="preserve">/*/*/*[2]/*[10]/*/*</t>
  </si>
  <si>
    <t xml:space="preserve">INF_CTRY_FROM_TOWN</t>
  </si>
  <si>
    <t xml:space="preserve">CdtTrfTxInf/Cdtr/PstlAdr/Ctry</t>
  </si>
  <si>
    <t xml:space="preserve">Country PK was never stated; it was deduced from the town name 'ISLAMABAD' (may be wrong for namesake towns)</t>
  </si>
  <si>
    <t xml:space="preserve">CdtTrfTxInf/Dbtr/PstlAdr/Ctry</t>
  </si>
  <si>
    <t xml:space="preserve">Country PK was never stated; it was deduced from the town name 'LAHORE' (may be wrong for namesake towns)</t>
  </si>
  <si>
    <t xml:space="preserve">:71G: does not say which bank levied the charge; MLTNPKKAXXX was assumed</t>
  </si>
  <si>
    <t xml:space="preserve">JPY allows 0 decimals but amount is 649470.50</t>
  </si>
  <si>
    <t xml:space="preserve">Value date 260231 is not a real calendar date</t>
  </si>
  <si>
    <t xml:space="preserve">:71F: does not say which bank levied the charge; EMRTAEAAXXX was assumed</t>
  </si>
  <si>
    <t xml:space="preserve">/*/*/*[2]/*[8]/*/*</t>
  </si>
  <si>
    <t xml:space="preserve">IBAN 'PK84ESLS4842535202779824' fails the mod-97 check digit test</t>
  </si>
  <si>
    <t xml:space="preserve">:71F: does not say which bank levied the charge; PSHRPKKAXXX was assumed</t>
  </si>
  <si>
    <t xml:space="preserve">IBAN 'PK13KHNU34372677036840194' has 25 chars; PK IBANs must have a fixed registry length</t>
  </si>
  <si>
    <t xml:space="preserve">IBAN 'PK13KHNU34372677036840194' fails the mod-97 check digit test</t>
  </si>
  <si>
    <t xml:space="preserve">Country PK was never stated; it was deduced from the town name 'SIALKOT' (may be wrong for namesake towns)</t>
  </si>
  <si>
    <t xml:space="preserve">Expected rule</t>
  </si>
  <si>
    <t xml:space="preserve">Detected (1/0)</t>
  </si>
  <si>
    <t xml:space="preserve">Defect type</t>
  </si>
  <si>
    <t xml:space="preserve">Injected</t>
  </si>
  <si>
    <t xml:space="preserve">Detected</t>
  </si>
  <si>
    <t xml:space="preserve">Recall</t>
  </si>
  <si>
    <t xml:space="preserve">TOTAL</t>
  </si>
  <si>
    <t xml:space="preserve">What it checks</t>
  </si>
  <si>
    <t xml:space="preserve">Times fired (this run)</t>
  </si>
  <si>
    <t xml:space="preserve">Mandatory MT103 field missing - message cannot be translated</t>
  </si>
  <si>
    <t xml:space="preserve">Value date in :32A: is not a real calendar date</t>
  </si>
  <si>
    <t xml:space="preserve">Amount not in SWIFT format (digits with a decimal comma)</t>
  </si>
  <si>
    <t xml:space="preserve">SX_FIELD_FORMAT</t>
  </si>
  <si>
    <t xml:space="preserve">Field does not match its FIN format definition</t>
  </si>
  <si>
    <t xml:space="preserve">SX_CODE_INVALID</t>
  </si>
  <si>
    <t xml:space="preserve">Code word not in the allowed list for the field</t>
  </si>
  <si>
    <t xml:space="preserve">SX_LINE_LENGTH</t>
  </si>
  <si>
    <t xml:space="preserve">Free-text line exceeds the 35-character FIN limit</t>
  </si>
  <si>
    <t xml:space="preserve">SX_FIELD_LINES</t>
  </si>
  <si>
    <t xml:space="preserve">Too many lines for the field</t>
  </si>
  <si>
    <t xml:space="preserve">Output violates the pacs.008 XSD (structure, order, type facet)</t>
  </si>
  <si>
    <t xml:space="preserve">BIC does not match the 8/11-character BIC pattern</t>
  </si>
  <si>
    <t xml:space="preserve">BIC characters 5-6 are not a valid ISO 3166 country</t>
  </si>
  <si>
    <t xml:space="preserve">IBAN fails the ISO 13616 mod-97 check</t>
  </si>
  <si>
    <t xml:space="preserve">IBAN length differs from the registry length for its country</t>
  </si>
  <si>
    <t xml:space="preserve">Currency code is not an ISO 4217 code known to the toolkit</t>
  </si>
  <si>
    <t xml:space="preserve">Amount has more decimals than the currency allows</t>
  </si>
  <si>
    <t xml:space="preserve">BR_AMT_POS</t>
  </si>
  <si>
    <t xml:space="preserve">Amount must be greater than zero</t>
  </si>
  <si>
    <t xml:space="preserve">BR_NAME_REQ</t>
  </si>
  <si>
    <t xml:space="preserve">Debtor/creditor name missing</t>
  </si>
  <si>
    <t xml:space="preserve">Postal address lacks town and/or country - NAK risk from 14 Nov 2026 (CBPR+ SR2026)</t>
  </si>
  <si>
    <t xml:space="preserve">BR_ADDR_LINES</t>
  </si>
  <si>
    <t xml:space="preserve">Hybrid address allows at most 2 unstructured AdrLine elements</t>
  </si>
  <si>
    <t xml:space="preserve">BR_ADDR_NONE</t>
  </si>
  <si>
    <t xml:space="preserve">No postal address supplied for party</t>
  </si>
  <si>
    <t xml:space="preserve">Charge fields inconsistent with :71A: (OUR/SHA/BEN network rules)</t>
  </si>
  <si>
    <t xml:space="preserve">Instructed currency differs from settlement currency but no exchange rate</t>
  </si>
  <si>
    <t xml:space="preserve">Interbank settlement date falls on a Saturday or Sunday</t>
  </si>
  <si>
    <t xml:space="preserve">Account IBAN country differs from party address country (screening relevant)</t>
  </si>
  <si>
    <t xml:space="preserve">Pakistani creditor account is not an IBAN; Raast onward credit needs an IBAN</t>
  </si>
  <si>
    <t xml:space="preserve">BR_RMT_MULTI_USTRD</t>
  </si>
  <si>
    <t xml:space="preserve">Remittance info needed more than one Ustrd (CBPR+ allows one, max 140 chars)</t>
  </si>
  <si>
    <t xml:space="preserve">EndToEndId is NOTPROVIDED - originator reference not available</t>
  </si>
  <si>
    <t xml:space="preserve">Name fills the full 35-character MT line - probably truncated upstream</t>
  </si>
  <si>
    <t xml:space="preserve">Remittance info uses all 4 MT lines nearly full - probably truncated upstream</t>
  </si>
  <si>
    <t xml:space="preserve">DL_UNMAPPED_50F_LINES</t>
  </si>
  <si>
    <t xml:space="preserve">50F lines 4/-8/ (birth data, IDs) not carried to ISO 20022</t>
  </si>
  <si>
    <t xml:space="preserve">No UETR in MT103; translator generated one (end-to-end tracking broken)</t>
  </si>
  <si>
    <t xml:space="preserve">Debtor agent assumed from the sending bank (no :52a:)</t>
  </si>
  <si>
    <t xml:space="preserve">Creditor agent assumed from the receiving bank (no :57a:)</t>
  </si>
  <si>
    <t xml:space="preserve">Charging agent assumed (MT :71F:/:71G: do not name it)</t>
  </si>
  <si>
    <t xml:space="preserve">Country deduced from a town name rather than stated</t>
  </si>
  <si>
    <t xml:space="preserve">Free-text address turned into structured town/country elements</t>
  </si>
  <si>
    <t xml:space="preserve">Code-word remittance data turned into structured Strd elements</t>
  </si>
  <si>
    <t xml:space="preserve">MT103 field</t>
  </si>
  <si>
    <t xml:space="preserve">Meaning</t>
  </si>
  <si>
    <t xml:space="preserve">ISO 20022 target (pacs.008.001.08)</t>
  </si>
  <si>
    <t xml:space="preserve">Method</t>
  </si>
  <si>
    <t xml:space="preserve">MT constraint</t>
  </si>
  <si>
    <t xml:space="preserve">ISO 20022 capability</t>
  </si>
  <si>
    <t xml:space="preserve">Effect</t>
  </si>
  <si>
    <t xml:space="preserve">Notes</t>
  </si>
  <si>
    <t xml:space="preserve">:20:</t>
  </si>
  <si>
    <t xml:space="preserve">Sender's reference</t>
  </si>
  <si>
    <t xml:space="preserve">GrpHdr/MsgId; PmtId/InstrId; PmtId/TxId</t>
  </si>
  <si>
    <t xml:space="preserve">16 chars</t>
  </si>
  <si>
    <t xml:space="preserve">35 chars per ID</t>
  </si>
  <si>
    <t xml:space="preserve">NEUTRAL</t>
  </si>
  <si>
    <t xml:space="preserve">Same value reused for three IDs</t>
  </si>
  <si>
    <t xml:space="preserve">:23B:</t>
  </si>
  <si>
    <t xml:space="preserve">Bank operation code</t>
  </si>
  <si>
    <t xml:space="preserve">PmtTpInf/SvcLvl/Prtry (SPRI, SSTD, SPAY)</t>
  </si>
  <si>
    <t xml:space="preserve">5 codes</t>
  </si>
  <si>
    <t xml:space="preserve">Service level / category purpose</t>
  </si>
  <si>
    <t xml:space="preserve">CRED is the default and produces no element. Mapping decision of this toolkit; CBPR+ guidelines may differ</t>
  </si>
  <si>
    <t xml:space="preserve">Value date, currency, amount</t>
  </si>
  <si>
    <t xml:space="preserve">IntrBkSttlmDt; IntrBkSttlmAmt (+Ccy)</t>
  </si>
  <si>
    <t xml:space="preserve">Decimal comma; YYMMDD</t>
  </si>
  <si>
    <t xml:space="preserve">xs:date, decimal point, 18 digits</t>
  </si>
  <si>
    <t xml:space="preserve">Format conversion only; decimals checked per ISO 4217</t>
  </si>
  <si>
    <t xml:space="preserve">:33B:</t>
  </si>
  <si>
    <t xml:space="preserve">Instructed amount</t>
  </si>
  <si>
    <t xml:space="preserve">InstdAmt (+Ccy)</t>
  </si>
  <si>
    <t xml:space="preserve">Optional</t>
  </si>
  <si>
    <t xml:space="preserve">Native element</t>
  </si>
  <si>
    <t xml:space="preserve">:36:</t>
  </si>
  <si>
    <t xml:space="preserve">Exchange rate</t>
  </si>
  <si>
    <t xml:space="preserve">XchgRate</t>
  </si>
  <si>
    <t xml:space="preserve">Decimal comma</t>
  </si>
  <si>
    <t xml:space="preserve">Decimal point, up to 10 decimals</t>
  </si>
  <si>
    <t xml:space="preserve">Rule: 33B currency &lt;&gt; 32A currency should come with a rate</t>
  </si>
  <si>
    <t xml:space="preserve">:50A:</t>
  </si>
  <si>
    <t xml:space="preserve">Ordering customer (BIC)</t>
  </si>
  <si>
    <t xml:space="preserve">Dbtr/Id/OrgId/AnyBIC</t>
  </si>
  <si>
    <t xml:space="preserve">BIC only, no name</t>
  </si>
  <si>
    <t xml:space="preserve">Name + address + IDs</t>
  </si>
  <si>
    <t xml:space="preserve">LOSS</t>
  </si>
  <si>
    <t xml:space="preserve">No name available, flagged by BR_NAME_REQ</t>
  </si>
  <si>
    <t xml:space="preserve">:50K:</t>
  </si>
  <si>
    <t xml:space="preserve">Ordering customer (free text)</t>
  </si>
  <si>
    <t xml:space="preserve">Dbtr/Nm; Dbtr/PstlAdr/*</t>
  </si>
  <si>
    <t xml:space="preserve">4x35 chars, name+address mixed</t>
  </si>
  <si>
    <t xml:space="preserve">Nm 140; structured address; 16+ elements</t>
  </si>
  <si>
    <t xml:space="preserve">GUESS</t>
  </si>
  <si>
    <t xml:space="preserve">Address structured by heuristics; leftovers go to AdrLine (hybrid)</t>
  </si>
  <si>
    <t xml:space="preserve">:50F:</t>
  </si>
  <si>
    <t xml:space="preserve">Ordering customer (structured)</t>
  </si>
  <si>
    <t xml:space="preserve">Dbtr/Nm; Dbtr/PstlAdr/TwnNm,Ctry,AdrLine</t>
  </si>
  <si>
    <t xml:space="preserve">Numbered lines 1/-8/</t>
  </si>
  <si>
    <t xml:space="preserve">Native structure</t>
  </si>
  <si>
    <t xml:space="preserve">GAIN</t>
  </si>
  <si>
    <t xml:space="preserve">Lines 4/-8/ not carried -&gt; DL_UNMAPPED_50F_LINES</t>
  </si>
  <si>
    <t xml:space="preserve">:50a: account</t>
  </si>
  <si>
    <t xml:space="preserve">Ordering account</t>
  </si>
  <si>
    <t xml:space="preserve">DbtrAcct/Id/IBAN or Othr/Id</t>
  </si>
  <si>
    <t xml:space="preserve">Account in first line</t>
  </si>
  <si>
    <t xml:space="preserve">IBAN vs other account typed</t>
  </si>
  <si>
    <t xml:space="preserve">IBAN checksum and length validated</t>
  </si>
  <si>
    <t xml:space="preserve">:52A/D:</t>
  </si>
  <si>
    <t xml:space="preserve">Ordering institution</t>
  </si>
  <si>
    <t xml:space="preserve">DbtrAgt/FinInstnId/BICFI or Nm+PstlAdr</t>
  </si>
  <si>
    <t xml:space="preserve">Mandatory in pacs.008</t>
  </si>
  <si>
    <t xml:space="preserve">If absent the sending bank BIC is assumed (INF_DBTRAGT_INFERRED)</t>
  </si>
  <si>
    <t xml:space="preserve">:53A:</t>
  </si>
  <si>
    <t xml:space="preserve">Sender's correspondent</t>
  </si>
  <si>
    <t xml:space="preserve">SttlmInf/InstgRmbrsmntAgt; SttlmMtd=INGA</t>
  </si>
  <si>
    <t xml:space="preserve">Settlement instruction block</t>
  </si>
  <si>
    <t xml:space="preserve">Settlement-method choice is simplified</t>
  </si>
  <si>
    <t xml:space="preserve">:54A:</t>
  </si>
  <si>
    <t xml:space="preserve">Receiver's correspondent</t>
  </si>
  <si>
    <t xml:space="preserve">SttlmInf/InstdRmbrsmntAgt</t>
  </si>
  <si>
    <t xml:space="preserve">:56A/D:</t>
  </si>
  <si>
    <t xml:space="preserve">Intermediary institution</t>
  </si>
  <si>
    <t xml:space="preserve">IntrmyAgt1</t>
  </si>
  <si>
    <t xml:space="preserve">Up to 3 intermediaries</t>
  </si>
  <si>
    <t xml:space="preserve">:57A/D:</t>
  </si>
  <si>
    <t xml:space="preserve">Account with institution</t>
  </si>
  <si>
    <t xml:space="preserve">CdtrAgt/FinInstnId</t>
  </si>
  <si>
    <t xml:space="preserve">If absent the receiving bank BIC is assumed (INF_CDTRAGT_INFERRED)</t>
  </si>
  <si>
    <t xml:space="preserve">Beneficiary (free text)</t>
  </si>
  <si>
    <t xml:space="preserve">Cdtr/Nm; Cdtr/PstlAdr/*; CdtrAcct</t>
  </si>
  <si>
    <t xml:space="preserve">4x35 chars; name+address mixed</t>
  </si>
  <si>
    <t xml:space="preserve">Structured address</t>
  </si>
  <si>
    <t xml:space="preserve">Same heuristics as 50K</t>
  </si>
  <si>
    <t xml:space="preserve">:59F:</t>
  </si>
  <si>
    <t xml:space="preserve">Beneficiary (structured)</t>
  </si>
  <si>
    <t xml:space="preserve">Cdtr/Nm; Cdtr/PstlAdr/*</t>
  </si>
  <si>
    <t xml:space="preserve">Numbered lines</t>
  </si>
  <si>
    <t xml:space="preserve">Remittance information</t>
  </si>
  <si>
    <t xml:space="preserve">RmtInf/Ustrd; RmtInf/Strd/RfrdDocInf; CdtrRefInf</t>
  </si>
  <si>
    <t xml:space="preserve">CODE / FREETEXT</t>
  </si>
  <si>
    <t xml:space="preserve">4x35 = 140 chars</t>
  </si>
  <si>
    <t xml:space="preserve">Ustrd 140 + structured blocks</t>
  </si>
  <si>
    <t xml:space="preserve">/INV/ -&gt; CINV document number; /RFB/ -&gt; creditor reference; /ROC/ -&gt; EndToEndId</t>
  </si>
  <si>
    <t xml:space="preserve">:70: /ROC/</t>
  </si>
  <si>
    <t xml:space="preserve">Ordering customer's reference</t>
  </si>
  <si>
    <t xml:space="preserve">PmtId/EndToEndId</t>
  </si>
  <si>
    <t xml:space="preserve">Buried in free text</t>
  </si>
  <si>
    <t xml:space="preserve">Dedicated element</t>
  </si>
  <si>
    <t xml:space="preserve">Absent -&gt; NOTPROVIDED (DL / BR_E2E_NOTPROVIDED)</t>
  </si>
  <si>
    <t xml:space="preserve">:71A:</t>
  </si>
  <si>
    <t xml:space="preserve">Details of charges</t>
  </si>
  <si>
    <t xml:space="preserve">ChrgBr (OUR=DEBT, BEN=CRED, SHA=SHAR)</t>
  </si>
  <si>
    <t xml:space="preserve">3 codes</t>
  </si>
  <si>
    <t xml:space="preserve">4 codes (adds SLEV)</t>
  </si>
  <si>
    <t xml:space="preserve">Charge-combination rules checked at MT level</t>
  </si>
  <si>
    <t xml:space="preserve">:71F:/:71G:</t>
  </si>
  <si>
    <t xml:space="preserve">Sender's / receiver's charges</t>
  </si>
  <si>
    <t xml:space="preserve">ChrgsInf/Amt + Agt</t>
  </si>
  <si>
    <t xml:space="preserve">DIRECT / INFERRED</t>
  </si>
  <si>
    <t xml:space="preserve">No bank named</t>
  </si>
  <si>
    <t xml:space="preserve">Agent mandatory</t>
  </si>
  <si>
    <t xml:space="preserve">Charging agent assumed (INF_CHRG_AGENT_INFERRED)</t>
  </si>
  <si>
    <t xml:space="preserve">:72:</t>
  </si>
  <si>
    <t xml:space="preserve">Sender to receiver info</t>
  </si>
  <si>
    <t xml:space="preserve">InstrForNxtAgt/InstrInf</t>
  </si>
  <si>
    <t xml:space="preserve">6x35 with code words</t>
  </si>
  <si>
    <t xml:space="preserve">Coded instruction options</t>
  </si>
  <si>
    <t xml:space="preserve">Stays unstructured here</t>
  </si>
  <si>
    <t xml:space="preserve">:77B:</t>
  </si>
  <si>
    <t xml:space="preserve">Regulatory reporting</t>
  </si>
  <si>
    <t xml:space="preserve">RgltryRptg/Dtls/Inf</t>
  </si>
  <si>
    <t xml:space="preserve">3x35</t>
  </si>
  <si>
    <t xml:space="preserve">Structured regulatory details</t>
  </si>
  <si>
    <t xml:space="preserve">Could be structured further (authority, country, code)</t>
  </si>
  <si>
    <t xml:space="preserve">{3:{121:}}</t>
  </si>
  <si>
    <t xml:space="preserve">UETR (gpi tracker)</t>
  </si>
  <si>
    <t xml:space="preserve">PmtId/UETR</t>
  </si>
  <si>
    <t xml:space="preserve">UUIDv4</t>
  </si>
  <si>
    <t xml:space="preserve">If absent a UETR is minted (INF_UETR_GENERATED)</t>
  </si>
  <si>
    <t xml:space="preserve">{1:}/{2:}</t>
  </si>
  <si>
    <t xml:space="preserve">Sender / receiver LT</t>
  </si>
  <si>
    <t xml:space="preserve">InstgAgt, InstdAgt BICFI</t>
  </si>
  <si>
    <t xml:space="preserve">LT address</t>
  </si>
  <si>
    <t xml:space="preserve">Agent elements</t>
  </si>
  <si>
    <t xml:space="preserve">BIC8 + branch extracted from the 12-char LT address</t>
  </si>
  <si>
    <t xml:space="preserve">Where did each ISO 20022 value come from?</t>
  </si>
  <si>
    <t xml:space="preserve">Counts of populated leaf elements across all converted messages (live COUNTIFS over 'Lineage Data').</t>
  </si>
  <si>
    <t xml:space="preserve">Element group</t>
  </si>
  <si>
    <t xml:space="preserve">Total</t>
  </si>
  <si>
    <t xml:space="preserve">Deterministic %</t>
  </si>
  <si>
    <t xml:space="preserve">Guessed % (PARSED+INFERRED)</t>
  </si>
  <si>
    <t xml:space="preserve">Cdtr</t>
  </si>
  <si>
    <t xml:space="preserve">CdtrAcct</t>
  </si>
  <si>
    <t xml:space="preserve">CdtrAgt</t>
  </si>
  <si>
    <t xml:space="preserve">ChrgBr</t>
  </si>
  <si>
    <t xml:space="preserve">ChrgsInf</t>
  </si>
  <si>
    <t xml:space="preserve">Dbtr</t>
  </si>
  <si>
    <t xml:space="preserve">DbtrAcct</t>
  </si>
  <si>
    <t xml:space="preserve">DbtrAgt</t>
  </si>
  <si>
    <t xml:space="preserve">GrpHdr</t>
  </si>
  <si>
    <t xml:space="preserve">InstdAgt</t>
  </si>
  <si>
    <t xml:space="preserve">InstdAmt</t>
  </si>
  <si>
    <t xml:space="preserve">InstgAgt</t>
  </si>
  <si>
    <t xml:space="preserve">InstrForNxtAgt</t>
  </si>
  <si>
    <t xml:space="preserve">IntrBkSttlmAmt</t>
  </si>
  <si>
    <t xml:space="preserve">IntrBkSttlmDt</t>
  </si>
  <si>
    <t xml:space="preserve">PmtId</t>
  </si>
  <si>
    <t xml:space="preserve">PmtTpInf</t>
  </si>
  <si>
    <t xml:space="preserve">RgltryRptg</t>
  </si>
  <si>
    <t xml:space="preserve">RmtInf</t>
  </si>
  <si>
    <t xml:space="preserve">ISO 20022 element path</t>
  </si>
  <si>
    <t xml:space="preserve">Group</t>
  </si>
  <si>
    <t xml:space="preserve">Source in MT103</t>
  </si>
  <si>
    <t xml:space="preserve">GrpHdr/MsgId</t>
  </si>
  <si>
    <t xml:space="preserve">GrpHdr/CreDtTm</t>
  </si>
  <si>
    <t xml:space="preserve">conversion time</t>
  </si>
  <si>
    <t xml:space="preserve">GrpHdr/NbOfTxs</t>
  </si>
  <si>
    <t xml:space="preserve">structure</t>
  </si>
  <si>
    <t xml:space="preserve">GrpHdr/SttlmInf/SttlmMtd</t>
  </si>
  <si>
    <t xml:space="preserve">:53A:/:54A: presence</t>
  </si>
  <si>
    <t xml:space="preserve">CdtTrfTxInf/PmtId/InstrId</t>
  </si>
  <si>
    <t xml:space="preserve">no /ROC/ in :70:</t>
  </si>
  <si>
    <t xml:space="preserve">CdtTrfTxInf/PmtId/TxId</t>
  </si>
  <si>
    <t xml:space="preserve">generated by translator</t>
  </si>
  <si>
    <t xml:space="preserve">CdtTrfTxInf/IntrBkSttlmAmt</t>
  </si>
  <si>
    <t xml:space="preserve">CdtTrfTxInf/IntrBkSttlmDt</t>
  </si>
  <si>
    <t xml:space="preserve">CdtTrfTxInf/ChrgBr</t>
  </si>
  <si>
    <t xml:space="preserve">CdtTrfTxInf/ChrgsInf/Amt</t>
  </si>
  <si>
    <t xml:space="preserve">:71F:</t>
  </si>
  <si>
    <t xml:space="preserve">CdtTrfTxInf/ChrgsInf/Agt/FinInstnId/BICFI</t>
  </si>
  <si>
    <t xml:space="preserve">71F: agent not stated; header BIC assumed</t>
  </si>
  <si>
    <t xml:space="preserve">CdtTrfTxInf/InstgAgt/FinInstnId/BICFI</t>
  </si>
  <si>
    <t xml:space="preserve">{1:} sender LT</t>
  </si>
  <si>
    <t xml:space="preserve">CdtTrfTxInf/InstdAgt/FinInstnId/BICFI</t>
  </si>
  <si>
    <t xml:space="preserve">{2:} receiver LT</t>
  </si>
  <si>
    <t xml:space="preserve">CdtTrfTxInf/Dbtr/Nm</t>
  </si>
  <si>
    <t xml:space="preserve">:50K: line 1</t>
  </si>
  <si>
    <t xml:space="preserve">CdtTrfTxInf/Dbtr/PstlAdr/StrtNm</t>
  </si>
  <si>
    <t xml:space="preserve">CdtTrfTxInf/Dbtr/PstlAdr/BldgNb</t>
  </si>
  <si>
    <t xml:space="preserve">CdtTrfTxInf/Dbtr/PstlAdr/TwnNm</t>
  </si>
  <si>
    <t xml:space="preserve">CdtTrfTxInf/DbtrAcct/Id/Othr/Id</t>
  </si>
  <si>
    <t xml:space="preserve">:50K: account line</t>
  </si>
  <si>
    <t xml:space="preserve">CdtTrfTxInf/DbtrAgt/FinInstnId/BICFI</t>
  </si>
  <si>
    <t xml:space="preserve">:52A:</t>
  </si>
  <si>
    <t xml:space="preserve">CdtTrfTxInf/CdtrAgt/FinInstnId/BICFI</t>
  </si>
  <si>
    <t xml:space="preserve">:57a: absent; receiver BIC assumed</t>
  </si>
  <si>
    <t xml:space="preserve">:59: line 1</t>
  </si>
  <si>
    <t xml:space="preserve">CdtTrfTxInf/Cdtr/PstlAdr/PstCd</t>
  </si>
  <si>
    <t xml:space="preserve">CdtTrfTxInf/Cdtr/PstlAdr/TwnNm</t>
  </si>
  <si>
    <t xml:space="preserve">CdtTrfTxInf/Cdtr/PstlAdr/AdrLine</t>
  </si>
  <si>
    <t xml:space="preserve">CdtTrfTxInf/CdtrAcct/Id/IBAN</t>
  </si>
  <si>
    <t xml:space="preserve">:59: account line</t>
  </si>
  <si>
    <t xml:space="preserve">CdtTrfTxInf/RmtInf/Ustrd</t>
  </si>
  <si>
    <t xml:space="preserve">CdtTrfTxInf/RmtInf/Strd/RfrdDocInf/Tp/CdOrPrtry/Cd</t>
  </si>
  <si>
    <t xml:space="preserve">:70: /INV/</t>
  </si>
  <si>
    <t xml:space="preserve">CdtTrfTxInf/RmtInf/Strd/RfrdDocInf/Nb</t>
  </si>
  <si>
    <t xml:space="preserve">CdtTrfTxInf/Dbtr/PstlAdr/PstCd</t>
  </si>
  <si>
    <t xml:space="preserve">CdtTrfTxInf/Dbtr/PstlAdr/AdrLine</t>
  </si>
  <si>
    <t xml:space="preserve">CdtTrfTxInf/DbtrAcct/Id/IBAN</t>
  </si>
  <si>
    <t xml:space="preserve">:52a: absent; sender BIC assumed</t>
  </si>
  <si>
    <t xml:space="preserve">CdtTrfTxInf/Cdtr/PstlAdr/StrtNm</t>
  </si>
  <si>
    <t xml:space="preserve">CdtTrfTxInf/Cdtr/PstlAdr/BldgNb</t>
  </si>
  <si>
    <t xml:space="preserve">:71G:</t>
  </si>
  <si>
    <t xml:space="preserve">71G: agent not stated; header BIC assumed</t>
  </si>
  <si>
    <t xml:space="preserve">CdtTrfTxInf/IntrmyAgt1/FinInstnId/BICFI</t>
  </si>
  <si>
    <t xml:space="preserve">:56A:</t>
  </si>
  <si>
    <t xml:space="preserve">CdtTrfTxInf/Dbtr/PstlAdr/CtrySubDvsn</t>
  </si>
  <si>
    <t xml:space="preserve">:57A:</t>
  </si>
  <si>
    <t xml:space="preserve">CdtTrfTxInf/PmtTpInf/SvcLvl/Prtry</t>
  </si>
  <si>
    <t xml:space="preserve">CdtTrfTxInf/InstrForNxtAgt/InstrInf</t>
  </si>
  <si>
    <t xml:space="preserve">GrpHdr/SttlmInf/InstgRmbrsmntAgt/FinInstnId/BICFI</t>
  </si>
  <si>
    <t xml:space="preserve">CdtTrfTxInf/InstdAmt</t>
  </si>
  <si>
    <t xml:space="preserve">CdtTrfTxInf/CdtrAcct/Id/Othr/Id</t>
  </si>
  <si>
    <t xml:space="preserve">CdtTrfTxInf/RmtInf/Strd/CdtrRefInf/Ref</t>
  </si>
  <si>
    <t xml:space="preserve">:70: /RFB/</t>
  </si>
  <si>
    <t xml:space="preserve">CdtTrfTxInf/RgltryRptg/Dtls/Inf</t>
  </si>
  <si>
    <t xml:space="preserve">:50F: 1/</t>
  </si>
  <si>
    <t xml:space="preserve">:50F: 2/,3/</t>
  </si>
  <si>
    <t xml:space="preserve">:50F: account line</t>
  </si>
  <si>
    <t xml:space="preserve">CdtTrfTxInf/Cdtr/PstlAdr/CtrySubDvsn</t>
  </si>
  <si>
    <t xml:space="preserve">CdtTrfTxInf/XchgRate</t>
  </si>
  <si>
    <t xml:space="preserve">:59F: 1/</t>
  </si>
  <si>
    <t xml:space="preserve">:59F: 2/,3/</t>
  </si>
  <si>
    <t xml:space="preserve">:59F: account line</t>
  </si>
  <si>
    <t xml:space="preserve">:59: country deduced from town</t>
  </si>
  <si>
    <t xml:space="preserve">:50K: country deduced from town</t>
  </si>
  <si>
    <t xml:space="preserve">Party role</t>
  </si>
  <si>
    <t xml:space="preserve">Town+Country present (1/0)</t>
  </si>
  <si>
    <t xml:space="preserve">Street structured (1/0)</t>
  </si>
  <si>
    <t xml:space="preserve">Has AdrLine (1/0)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</si>
</sst>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0.0"/>
    <numFmt numFmtId="168" formatCode="#,##0"/>
    <numFmt numFmtId="169" formatCode="\$#,##0;&quot;($&quot;#,##0\);\-"/>
    <numFmt numFmtId="170" formatCode="0.000"/>
    <numFmt numFmtId="171" formatCode="#,##0.00"/>
    <numFmt numFmtId="172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E6B8B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E6B8B7"/>
      <rgbColor rgb="FFCC99FF"/>
      <rgbColor rgb="FFF8CBAD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Migration outcome per message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Summary!B25</c:f>
              <c:strCache>
                <c:ptCount val="1"/>
                <c:pt idx="0">
                  <c:v>Messages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Summary!$A$26:$A$29</c:f>
              <c:strCache>
                <c:ptCount val="4"/>
                <c:pt idx="0">
                  <c:v>PASS_CLEAN</c:v>
                </c:pt>
                <c:pt idx="1">
                  <c:v>PASS_WITH_WARNINGS</c:v>
                </c:pt>
                <c:pt idx="2">
                  <c:v>FAILED_VALIDATION</c:v>
                </c:pt>
                <c:pt idx="3">
                  <c:v>REJECTED</c:v>
                </c:pt>
              </c:strCache>
            </c:strRef>
          </c:cat>
          <c:val>
            <c:numRef>
              <c:f>Summary!$B$26:$B$29</c:f>
              <c:numCache>
                <c:formatCode>General</c:formatCode>
                <c:ptCount val="4"/>
                <c:pt idx="0">
                  <c:v>42</c:v>
                </c:pt>
                <c:pt idx="1">
                  <c:v>31</c:v>
                </c:pt>
                <c:pt idx="2">
                  <c:v>21</c:v>
                </c:pt>
                <c:pt idx="3">
                  <c:v>6</c:v>
                </c:pt>
              </c:numCache>
            </c:numRef>
          </c:val>
        </c:ser>
        <c:gapWidth val="150"/>
        <c:overlap val="0"/>
        <c:axId val="10832718"/>
        <c:axId val="30453207"/>
      </c:barChart>
      <c:catAx>
        <c:axId val="10832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53207"/>
        <c:crosses val="autoZero"/>
        <c:auto val="1"/>
        <c:lblAlgn val="ctr"/>
        <c:lblOffset val="100"/>
        <c:noMultiLvlLbl val="0"/>
      </c:catAx>
      <c:valAx>
        <c:axId val="30453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32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Findings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Summary!B33</c:f>
              <c:strCache>
                <c:ptCount val="1"/>
                <c:pt idx="0">
                  <c:v>Findings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Summary!$A$34:$A$40</c:f>
              <c:strCache>
                <c:ptCount val="7"/>
                <c:pt idx="0">
                  <c:v>SYNTAX</c:v>
                </c:pt>
                <c:pt idx="1">
                  <c:v>SCHEMA</c:v>
                </c:pt>
                <c:pt idx="2">
                  <c:v>BUSINESS</c:v>
                </c:pt>
                <c:pt idx="3">
                  <c:v>ADDRESS</c:v>
                </c:pt>
                <c:pt idx="4">
                  <c:v>DATA_LOSS</c:v>
                </c:pt>
                <c:pt idx="5">
                  <c:v>INFERENCE</c:v>
                </c:pt>
                <c:pt idx="6">
                  <c:v>ENRICHMENT</c:v>
                </c:pt>
              </c:strCache>
            </c:strRef>
          </c:cat>
          <c:val>
            <c:numRef>
              <c:f>Summary!$B$34:$B$40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110</c:v>
                </c:pt>
                <c:pt idx="3">
                  <c:v>5</c:v>
                </c:pt>
                <c:pt idx="4">
                  <c:v>6</c:v>
                </c:pt>
                <c:pt idx="5">
                  <c:v>153</c:v>
                </c:pt>
                <c:pt idx="6">
                  <c:v>227</c:v>
                </c:pt>
              </c:numCache>
            </c:numRef>
          </c:val>
        </c:ser>
        <c:gapWidth val="150"/>
        <c:overlap val="0"/>
        <c:axId val="17058052"/>
        <c:axId val="45620220"/>
      </c:barChart>
      <c:catAx>
        <c:axId val="17058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20220"/>
        <c:crosses val="autoZero"/>
        <c:auto val="1"/>
        <c:lblAlgn val="ctr"/>
        <c:lblOffset val="100"/>
        <c:noMultiLvlLbl val="0"/>
      </c:catAx>
      <c:valAx>
        <c:axId val="45620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58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cash flow (ACTIVE scenario, 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'Business Case'!A33</c:f>
              <c:strCache>
                <c:ptCount val="1"/>
                <c:pt idx="0">
                  <c:v>Cumulative net cash flow (undiscounted)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Case'!$B$22:$G$22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'Business Case'!$B$33:$G$33</c:f>
              <c:numCache>
                <c:formatCode>\$#,##0;"($"#,##0\);\-</c:formatCode>
                <c:ptCount val="6"/>
                <c:pt idx="0">
                  <c:v>-650000</c:v>
                </c:pt>
                <c:pt idx="1">
                  <c:v>-130000</c:v>
                </c:pt>
                <c:pt idx="2">
                  <c:v>421500</c:v>
                </c:pt>
                <c:pt idx="3">
                  <c:v>1006075</c:v>
                </c:pt>
                <c:pt idx="4">
                  <c:v>1625378.75</c:v>
                </c:pt>
                <c:pt idx="5">
                  <c:v>2281147.6875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434999"/>
        <c:axId val="41982547"/>
      </c:lineChart>
      <c:catAx>
        <c:axId val="6643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82547"/>
        <c:crosses val="autoZero"/>
        <c:auto val="1"/>
        <c:lblAlgn val="ctr"/>
        <c:lblOffset val="100"/>
        <c:noMultiLvlLbl val="0"/>
      </c:catAx>
      <c:valAx>
        <c:axId val="41982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34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Detection recall by injected defect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'Detection Eval'!I1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'Detection Eval'!$F$2:$F$18</c:f>
              <c:strCache>
                <c:ptCount val="17"/>
                <c:pt idx="0">
                  <c:v>D01_IBAN_CHECKSUM</c:v>
                </c:pt>
                <c:pt idx="1">
                  <c:v>D02_IBAN_LENGTH</c:v>
                </c:pt>
                <c:pt idx="2">
                  <c:v>D03_BIC_FORMAT</c:v>
                </c:pt>
                <c:pt idx="3">
                  <c:v>D06_ADDR_NO_COUNTRY</c:v>
                </c:pt>
                <c:pt idx="4">
                  <c:v>D07_ADDR_TOWN_ONLY</c:v>
                </c:pt>
                <c:pt idx="5">
                  <c:v>D08_NAME_AT_35</c:v>
                </c:pt>
                <c:pt idx="6">
                  <c:v>D09_REMIT_FULL</c:v>
                </c:pt>
                <c:pt idx="7">
                  <c:v>D10_JPY_DECIMALS</c:v>
                </c:pt>
                <c:pt idx="8">
                  <c:v>D11_UNKNOWN_CCY</c:v>
                </c:pt>
                <c:pt idx="9">
                  <c:v>D12_BAD_DATE</c:v>
                </c:pt>
                <c:pt idx="10">
                  <c:v>D13_AMOUNT_NO_COMMA</c:v>
                </c:pt>
                <c:pt idx="11">
                  <c:v>D15_CHARGE_RULE</c:v>
                </c:pt>
                <c:pt idx="12">
                  <c:v>D16_FX_NO_RATE</c:v>
                </c:pt>
                <c:pt idx="13">
                  <c:v>D17_WEEKEND_DATE</c:v>
                </c:pt>
                <c:pt idx="14">
                  <c:v>D18_IBAN_COUNTRY_MISMATCH</c:v>
                </c:pt>
                <c:pt idx="15">
                  <c:v>D19_MISSING_MANDATORY</c:v>
                </c:pt>
                <c:pt idx="16">
                  <c:v>D22_NON_IBAN_PK_ACCOUNT</c:v>
                </c:pt>
              </c:strCache>
            </c:strRef>
          </c:cat>
          <c:val>
            <c:numRef>
              <c:f>'Detection Eval'!$I$2:$I$18</c:f>
              <c:numCache>
                <c:formatCode>0.0%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gapWidth val="150"/>
        <c:overlap val="0"/>
        <c:axId val="93757117"/>
        <c:axId val="97308632"/>
      </c:barChart>
      <c:catAx>
        <c:axId val="93757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08632"/>
        <c:crosses val="autoZero"/>
        <c:auto val="1"/>
        <c:lblAlgn val="ctr"/>
        <c:lblOffset val="100"/>
        <c:noMultiLvlLbl val="0"/>
      </c:catAx>
      <c:valAx>
        <c:axId val="9730863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571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provenance by element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Lineage!B4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Lineage!$A$5:$A$25</c:f>
              <c:strCache>
                <c:ptCount val="21"/>
                <c:pt idx="0">
                  <c:v>Cdtr</c:v>
                </c:pt>
                <c:pt idx="1">
                  <c:v>CdtrAcct</c:v>
                </c:pt>
                <c:pt idx="2">
                  <c:v>CdtrAgt</c:v>
                </c:pt>
                <c:pt idx="3">
                  <c:v>ChrgBr</c:v>
                </c:pt>
                <c:pt idx="4">
                  <c:v>ChrgsInf</c:v>
                </c:pt>
                <c:pt idx="5">
                  <c:v>Dbtr</c:v>
                </c:pt>
                <c:pt idx="6">
                  <c:v>DbtrAcct</c:v>
                </c:pt>
                <c:pt idx="7">
                  <c:v>DbtrAgt</c:v>
                </c:pt>
                <c:pt idx="8">
                  <c:v>GrpHdr</c:v>
                </c:pt>
                <c:pt idx="9">
                  <c:v>InstdAgt</c:v>
                </c:pt>
                <c:pt idx="10">
                  <c:v>InstdAmt</c:v>
                </c:pt>
                <c:pt idx="11">
                  <c:v>InstgAgt</c:v>
                </c:pt>
                <c:pt idx="12">
                  <c:v>InstrForNxtAgt</c:v>
                </c:pt>
                <c:pt idx="13">
                  <c:v>IntrBkSttlmAmt</c:v>
                </c:pt>
                <c:pt idx="14">
                  <c:v>IntrBkSttlmDt</c:v>
                </c:pt>
                <c:pt idx="15">
                  <c:v>IntrmyAgt1</c:v>
                </c:pt>
                <c:pt idx="16">
                  <c:v>PmtId</c:v>
                </c:pt>
                <c:pt idx="17">
                  <c:v>PmtTpInf</c:v>
                </c:pt>
                <c:pt idx="18">
                  <c:v>RgltryRptg</c:v>
                </c:pt>
                <c:pt idx="19">
                  <c:v>RmtInf</c:v>
                </c:pt>
                <c:pt idx="20">
                  <c:v>XchgRate</c:v>
                </c:pt>
              </c:strCache>
            </c:strRef>
          </c:cat>
          <c:val>
            <c:numRef>
              <c:f>Lineage!$B$5:$B$25</c:f>
              <c:numCache>
                <c:formatCode>General</c:formatCode>
                <c:ptCount val="21"/>
                <c:pt idx="0">
                  <c:v>104</c:v>
                </c:pt>
                <c:pt idx="1">
                  <c:v>94</c:v>
                </c:pt>
                <c:pt idx="2">
                  <c:v>31</c:v>
                </c:pt>
                <c:pt idx="3">
                  <c:v>0</c:v>
                </c:pt>
                <c:pt idx="4">
                  <c:v>23</c:v>
                </c:pt>
                <c:pt idx="5">
                  <c:v>108</c:v>
                </c:pt>
                <c:pt idx="6">
                  <c:v>94</c:v>
                </c:pt>
                <c:pt idx="7">
                  <c:v>53</c:v>
                </c:pt>
                <c:pt idx="8">
                  <c:v>101</c:v>
                </c:pt>
                <c:pt idx="9">
                  <c:v>94</c:v>
                </c:pt>
                <c:pt idx="10">
                  <c:v>16</c:v>
                </c:pt>
                <c:pt idx="11">
                  <c:v>94</c:v>
                </c:pt>
                <c:pt idx="12">
                  <c:v>0</c:v>
                </c:pt>
                <c:pt idx="13">
                  <c:v>94</c:v>
                </c:pt>
                <c:pt idx="14">
                  <c:v>94</c:v>
                </c:pt>
                <c:pt idx="15">
                  <c:v>11</c:v>
                </c:pt>
                <c:pt idx="16">
                  <c:v>259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</c:v>
                </c:pt>
              </c:numCache>
            </c:numRef>
          </c:val>
        </c:ser>
        <c:ser>
          <c:idx val="1"/>
          <c:order val="1"/>
          <c:tx>
            <c:strRef>
              <c:f>Lineage!C4</c:f>
              <c:strCache>
                <c:ptCount val="1"/>
                <c:pt idx="0">
                  <c:v>CODE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Lineage!$A$5:$A$25</c:f>
              <c:strCache>
                <c:ptCount val="21"/>
                <c:pt idx="0">
                  <c:v>Cdtr</c:v>
                </c:pt>
                <c:pt idx="1">
                  <c:v>CdtrAcct</c:v>
                </c:pt>
                <c:pt idx="2">
                  <c:v>CdtrAgt</c:v>
                </c:pt>
                <c:pt idx="3">
                  <c:v>ChrgBr</c:v>
                </c:pt>
                <c:pt idx="4">
                  <c:v>ChrgsInf</c:v>
                </c:pt>
                <c:pt idx="5">
                  <c:v>Dbtr</c:v>
                </c:pt>
                <c:pt idx="6">
                  <c:v>DbtrAcct</c:v>
                </c:pt>
                <c:pt idx="7">
                  <c:v>DbtrAgt</c:v>
                </c:pt>
                <c:pt idx="8">
                  <c:v>GrpHdr</c:v>
                </c:pt>
                <c:pt idx="9">
                  <c:v>InstdAgt</c:v>
                </c:pt>
                <c:pt idx="10">
                  <c:v>InstdAmt</c:v>
                </c:pt>
                <c:pt idx="11">
                  <c:v>InstgAgt</c:v>
                </c:pt>
                <c:pt idx="12">
                  <c:v>InstrForNxtAgt</c:v>
                </c:pt>
                <c:pt idx="13">
                  <c:v>IntrBkSttlmAmt</c:v>
                </c:pt>
                <c:pt idx="14">
                  <c:v>IntrBkSttlmDt</c:v>
                </c:pt>
                <c:pt idx="15">
                  <c:v>IntrmyAgt1</c:v>
                </c:pt>
                <c:pt idx="16">
                  <c:v>PmtId</c:v>
                </c:pt>
                <c:pt idx="17">
                  <c:v>PmtTpInf</c:v>
                </c:pt>
                <c:pt idx="18">
                  <c:v>RgltryRptg</c:v>
                </c:pt>
                <c:pt idx="19">
                  <c:v>RmtInf</c:v>
                </c:pt>
                <c:pt idx="20">
                  <c:v>XchgRate</c:v>
                </c:pt>
              </c:strCache>
            </c:strRef>
          </c:cat>
          <c:val>
            <c:numRef>
              <c:f>Lineage!$C$5:$C$25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27</c:v>
                </c:pt>
                <c:pt idx="18">
                  <c:v>0</c:v>
                </c:pt>
                <c:pt idx="19">
                  <c:v>85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strRef>
              <c:f>Lineage!D4</c:f>
              <c:strCache>
                <c:ptCount val="1"/>
                <c:pt idx="0">
                  <c:v>PARSED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Lineage!$A$5:$A$25</c:f>
              <c:strCache>
                <c:ptCount val="21"/>
                <c:pt idx="0">
                  <c:v>Cdtr</c:v>
                </c:pt>
                <c:pt idx="1">
                  <c:v>CdtrAcct</c:v>
                </c:pt>
                <c:pt idx="2">
                  <c:v>CdtrAgt</c:v>
                </c:pt>
                <c:pt idx="3">
                  <c:v>ChrgBr</c:v>
                </c:pt>
                <c:pt idx="4">
                  <c:v>ChrgsInf</c:v>
                </c:pt>
                <c:pt idx="5">
                  <c:v>Dbtr</c:v>
                </c:pt>
                <c:pt idx="6">
                  <c:v>DbtrAcct</c:v>
                </c:pt>
                <c:pt idx="7">
                  <c:v>DbtrAgt</c:v>
                </c:pt>
                <c:pt idx="8">
                  <c:v>GrpHdr</c:v>
                </c:pt>
                <c:pt idx="9">
                  <c:v>InstdAgt</c:v>
                </c:pt>
                <c:pt idx="10">
                  <c:v>InstdAmt</c:v>
                </c:pt>
                <c:pt idx="11">
                  <c:v>InstgAgt</c:v>
                </c:pt>
                <c:pt idx="12">
                  <c:v>InstrForNxtAgt</c:v>
                </c:pt>
                <c:pt idx="13">
                  <c:v>IntrBkSttlmAmt</c:v>
                </c:pt>
                <c:pt idx="14">
                  <c:v>IntrBkSttlmDt</c:v>
                </c:pt>
                <c:pt idx="15">
                  <c:v>IntrmyAgt1</c:v>
                </c:pt>
                <c:pt idx="16">
                  <c:v>PmtId</c:v>
                </c:pt>
                <c:pt idx="17">
                  <c:v>PmtTpInf</c:v>
                </c:pt>
                <c:pt idx="18">
                  <c:v>RgltryRptg</c:v>
                </c:pt>
                <c:pt idx="19">
                  <c:v>RmtInf</c:v>
                </c:pt>
                <c:pt idx="20">
                  <c:v>XchgRate</c:v>
                </c:pt>
              </c:strCache>
            </c:strRef>
          </c:cat>
          <c:val>
            <c:numRef>
              <c:f>Lineage!$D$5:$D$25</c:f>
              <c:numCache>
                <c:formatCode>General</c:formatCode>
                <c:ptCount val="21"/>
                <c:pt idx="0">
                  <c:v>289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3"/>
          <c:order val="3"/>
          <c:tx>
            <c:strRef>
              <c:f>Lineage!E4</c:f>
              <c:strCache>
                <c:ptCount val="1"/>
                <c:pt idx="0">
                  <c:v>INFERRED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Lineage!$A$5:$A$25</c:f>
              <c:strCache>
                <c:ptCount val="21"/>
                <c:pt idx="0">
                  <c:v>Cdtr</c:v>
                </c:pt>
                <c:pt idx="1">
                  <c:v>CdtrAcct</c:v>
                </c:pt>
                <c:pt idx="2">
                  <c:v>CdtrAgt</c:v>
                </c:pt>
                <c:pt idx="3">
                  <c:v>ChrgBr</c:v>
                </c:pt>
                <c:pt idx="4">
                  <c:v>ChrgsInf</c:v>
                </c:pt>
                <c:pt idx="5">
                  <c:v>Dbtr</c:v>
                </c:pt>
                <c:pt idx="6">
                  <c:v>DbtrAcct</c:v>
                </c:pt>
                <c:pt idx="7">
                  <c:v>DbtrAgt</c:v>
                </c:pt>
                <c:pt idx="8">
                  <c:v>GrpHdr</c:v>
                </c:pt>
                <c:pt idx="9">
                  <c:v>InstdAgt</c:v>
                </c:pt>
                <c:pt idx="10">
                  <c:v>InstdAmt</c:v>
                </c:pt>
                <c:pt idx="11">
                  <c:v>InstgAgt</c:v>
                </c:pt>
                <c:pt idx="12">
                  <c:v>InstrForNxtAgt</c:v>
                </c:pt>
                <c:pt idx="13">
                  <c:v>IntrBkSttlmAmt</c:v>
                </c:pt>
                <c:pt idx="14">
                  <c:v>IntrBkSttlmDt</c:v>
                </c:pt>
                <c:pt idx="15">
                  <c:v>IntrmyAgt1</c:v>
                </c:pt>
                <c:pt idx="16">
                  <c:v>PmtId</c:v>
                </c:pt>
                <c:pt idx="17">
                  <c:v>PmtTpInf</c:v>
                </c:pt>
                <c:pt idx="18">
                  <c:v>RgltryRptg</c:v>
                </c:pt>
                <c:pt idx="19">
                  <c:v>RmtInf</c:v>
                </c:pt>
                <c:pt idx="20">
                  <c:v>XchgRate</c:v>
                </c:pt>
              </c:strCache>
            </c:strRef>
          </c:cat>
          <c:val>
            <c:numRef>
              <c:f>Lineage!$E$5:$E$25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63</c:v>
                </c:pt>
                <c:pt idx="3">
                  <c:v>0</c:v>
                </c:pt>
                <c:pt idx="4">
                  <c:v>23</c:v>
                </c:pt>
                <c:pt idx="5">
                  <c:v>2</c:v>
                </c:pt>
                <c:pt idx="6">
                  <c:v>0</c:v>
                </c:pt>
                <c:pt idx="7">
                  <c:v>41</c:v>
                </c:pt>
                <c:pt idx="8">
                  <c:v>282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4"/>
          <c:order val="4"/>
          <c:tx>
            <c:strRef>
              <c:f>Lineage!F4</c:f>
              <c:strCache>
                <c:ptCount val="1"/>
                <c:pt idx="0">
                  <c:v>FREETEXT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Lineage!$A$5:$A$25</c:f>
              <c:strCache>
                <c:ptCount val="21"/>
                <c:pt idx="0">
                  <c:v>Cdtr</c:v>
                </c:pt>
                <c:pt idx="1">
                  <c:v>CdtrAcct</c:v>
                </c:pt>
                <c:pt idx="2">
                  <c:v>CdtrAgt</c:v>
                </c:pt>
                <c:pt idx="3">
                  <c:v>ChrgBr</c:v>
                </c:pt>
                <c:pt idx="4">
                  <c:v>ChrgsInf</c:v>
                </c:pt>
                <c:pt idx="5">
                  <c:v>Dbtr</c:v>
                </c:pt>
                <c:pt idx="6">
                  <c:v>DbtrAcct</c:v>
                </c:pt>
                <c:pt idx="7">
                  <c:v>DbtrAgt</c:v>
                </c:pt>
                <c:pt idx="8">
                  <c:v>GrpHdr</c:v>
                </c:pt>
                <c:pt idx="9">
                  <c:v>InstdAgt</c:v>
                </c:pt>
                <c:pt idx="10">
                  <c:v>InstdAmt</c:v>
                </c:pt>
                <c:pt idx="11">
                  <c:v>InstgAgt</c:v>
                </c:pt>
                <c:pt idx="12">
                  <c:v>InstrForNxtAgt</c:v>
                </c:pt>
                <c:pt idx="13">
                  <c:v>IntrBkSttlmAmt</c:v>
                </c:pt>
                <c:pt idx="14">
                  <c:v>IntrBkSttlmDt</c:v>
                </c:pt>
                <c:pt idx="15">
                  <c:v>IntrmyAgt1</c:v>
                </c:pt>
                <c:pt idx="16">
                  <c:v>PmtId</c:v>
                </c:pt>
                <c:pt idx="17">
                  <c:v>PmtTpInf</c:v>
                </c:pt>
                <c:pt idx="18">
                  <c:v>RgltryRptg</c:v>
                </c:pt>
                <c:pt idx="19">
                  <c:v>RmtInf</c:v>
                </c:pt>
                <c:pt idx="20">
                  <c:v>XchgRate</c:v>
                </c:pt>
              </c:strCache>
            </c:strRef>
          </c:cat>
          <c:val>
            <c:numRef>
              <c:f>Lineage!$F$5:$F$25</c:f>
              <c:numCache>
                <c:formatCode>General</c:formatCode>
                <c:ptCount val="21"/>
                <c:pt idx="0">
                  <c:v>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18</c:v>
                </c:pt>
                <c:pt idx="19">
                  <c:v>94</c:v>
                </c:pt>
                <c:pt idx="20">
                  <c:v>0</c:v>
                </c:pt>
              </c:numCache>
            </c:numRef>
          </c:val>
        </c:ser>
        <c:gapWidth val="150"/>
        <c:overlap val="100"/>
        <c:axId val="95813544"/>
        <c:axId val="20518886"/>
      </c:barChart>
      <c:catAx>
        <c:axId val="9581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18886"/>
        <c:crosses val="autoZero"/>
        <c:auto val="1"/>
        <c:lblAlgn val="ctr"/>
        <c:lblOffset val="100"/>
        <c:noMultiLvlLbl val="0"/>
      </c:catAx>
      <c:valAx>
        <c:axId val="20518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135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8</xdr:col>
      <xdr:colOff>1648800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775332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25</xdr:row>
      <xdr:rowOff>160560</xdr:rowOff>
    </xdr:from>
    <xdr:to>
      <xdr:col>8</xdr:col>
      <xdr:colOff>1648800</xdr:colOff>
      <xdr:row>40</xdr:row>
      <xdr:rowOff>2520</xdr:rowOff>
    </xdr:to>
    <xdr:graphicFrame>
      <xdr:nvGraphicFramePr>
        <xdr:cNvPr id="1" name="Chart 2"/>
        <xdr:cNvGraphicFramePr/>
      </xdr:nvGraphicFramePr>
      <xdr:xfrm>
        <a:off x="7753320" y="4952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256320</xdr:colOff>
      <xdr:row>16</xdr:row>
      <xdr:rowOff>182520</xdr:rowOff>
    </xdr:to>
    <xdr:graphicFrame>
      <xdr:nvGraphicFramePr>
        <xdr:cNvPr id="2" name="Chart 1"/>
        <xdr:cNvGraphicFramePr/>
      </xdr:nvGraphicFramePr>
      <xdr:xfrm>
        <a:off x="1395612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20</xdr:row>
      <xdr:rowOff>78120</xdr:rowOff>
    </xdr:from>
    <xdr:to>
      <xdr:col>12</xdr:col>
      <xdr:colOff>416160</xdr:colOff>
      <xdr:row>39</xdr:row>
      <xdr:rowOff>58320</xdr:rowOff>
    </xdr:to>
    <xdr:graphicFrame>
      <xdr:nvGraphicFramePr>
        <xdr:cNvPr id="3" name="Chart 1"/>
        <xdr:cNvGraphicFramePr/>
      </xdr:nvGraphicFramePr>
      <xdr:xfrm>
        <a:off x="5497920" y="4000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48240</xdr:rowOff>
    </xdr:from>
    <xdr:to>
      <xdr:col>8</xdr:col>
      <xdr:colOff>1153080</xdr:colOff>
      <xdr:row>44</xdr:row>
      <xdr:rowOff>49680</xdr:rowOff>
    </xdr:to>
    <xdr:graphicFrame>
      <xdr:nvGraphicFramePr>
        <xdr:cNvPr id="4" name="Chart 1"/>
        <xdr:cNvGraphicFramePr/>
      </xdr:nvGraphicFramePr>
      <xdr:xfrm>
        <a:off x="0" y="53341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3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3" t="s">
        <v>16</v>
      </c>
    </row>
    <row r="5" customFormat="false" ht="15" hidden="false" customHeight="false" outlineLevel="0" collapsed="false">
      <c r="A5" s="4" t="s">
        <v>17</v>
      </c>
      <c r="B5" s="5" t="n">
        <f aca="false">COUNTA(Results!$A$2:$A$101)</f>
        <v>100</v>
      </c>
    </row>
    <row r="6" customFormat="false" ht="15" hidden="false" customHeight="false" outlineLevel="0" collapsed="false">
      <c r="A6" s="4" t="s">
        <v>18</v>
      </c>
      <c r="B6" s="5" t="n">
        <f aca="false">COUNTIF(Results!$G$2:$G$101,"PASS_CLEAN")</f>
        <v>42</v>
      </c>
    </row>
    <row r="7" customFormat="false" ht="15" hidden="false" customHeight="false" outlineLevel="0" collapsed="false">
      <c r="A7" s="4" t="s">
        <v>19</v>
      </c>
      <c r="B7" s="5" t="n">
        <f aca="false">COUNTIF(Results!$G$2:$G$101,"PASS_WITH_WARNINGS")</f>
        <v>31</v>
      </c>
    </row>
    <row r="8" customFormat="false" ht="15" hidden="false" customHeight="false" outlineLevel="0" collapsed="false">
      <c r="A8" s="4" t="s">
        <v>20</v>
      </c>
      <c r="B8" s="5" t="n">
        <f aca="false">COUNTIF(Results!$G$2:$G$101,"FAILED_VALIDATION")</f>
        <v>21</v>
      </c>
    </row>
    <row r="9" customFormat="false" ht="15" hidden="false" customHeight="false" outlineLevel="0" collapsed="false">
      <c r="A9" s="4" t="s">
        <v>21</v>
      </c>
      <c r="B9" s="5" t="n">
        <f aca="false">COUNTIF(Results!$G$2:$G$101,"REJECTED")</f>
        <v>6</v>
      </c>
    </row>
    <row r="10" customFormat="false" ht="15" hidden="false" customHeight="false" outlineLevel="0" collapsed="false">
      <c r="A10" s="4" t="s">
        <v>22</v>
      </c>
      <c r="B10" s="6" t="n">
        <f aca="false">(B6+B7)/B5</f>
        <v>0.73</v>
      </c>
    </row>
    <row r="11" customFormat="false" ht="15" hidden="false" customHeight="false" outlineLevel="0" collapsed="false">
      <c r="A11" s="4" t="s">
        <v>23</v>
      </c>
      <c r="B11" s="6" t="n">
        <f aca="false">(B8+B9)/B5</f>
        <v>0.27</v>
      </c>
    </row>
    <row r="12" customFormat="false" ht="15" hidden="false" customHeight="false" outlineLevel="0" collapsed="false">
      <c r="A12" s="4" t="s">
        <v>24</v>
      </c>
      <c r="B12" s="7" t="n">
        <f aca="false">AVERAGE(Results!$H$2:$H$101)</f>
        <v>81.74</v>
      </c>
    </row>
    <row r="13" customFormat="false" ht="15" hidden="false" customHeight="false" outlineLevel="0" collapsed="false">
      <c r="A13" s="4" t="s">
        <v>25</v>
      </c>
      <c r="B13" s="6" t="n">
        <f aca="false">(SUM(Results!$O$2:$O$101)+SUM(Results!$P$2:$P$101))/SUM(Results!$N$2:$N$101)</f>
        <v>0.519543410584573</v>
      </c>
    </row>
    <row r="14" customFormat="false" ht="15" hidden="false" customHeight="false" outlineLevel="0" collapsed="false">
      <c r="A14" s="4" t="s">
        <v>26</v>
      </c>
      <c r="B14" s="6" t="n">
        <f aca="false">SUM(Results!$Q$2:$Q$101)/SUM(Results!$N$2:$N$101)</f>
        <v>0.209961950882048</v>
      </c>
    </row>
    <row r="15" customFormat="false" ht="15" hidden="false" customHeight="false" outlineLevel="0" collapsed="false">
      <c r="A15" s="4" t="s">
        <v>27</v>
      </c>
      <c r="B15" s="6" t="n">
        <f aca="false">SUM(Results!$R$2:$R$101)/SUM(Results!$N$2:$N$101)</f>
        <v>0.178830854375649</v>
      </c>
    </row>
    <row r="16" customFormat="false" ht="15" hidden="false" customHeight="false" outlineLevel="0" collapsed="false">
      <c r="A16" s="4" t="s">
        <v>28</v>
      </c>
      <c r="B16" s="6" t="n">
        <f aca="false">SUM(Results!$S$2:$S$101)/SUM(Results!$N$2:$N$101)</f>
        <v>0.0916637841577309</v>
      </c>
    </row>
    <row r="17" customFormat="false" ht="15" hidden="false" customHeight="false" outlineLevel="0" collapsed="false">
      <c r="A17" s="4" t="s">
        <v>29</v>
      </c>
      <c r="B17" s="5" t="n">
        <f aca="false">COUNTIF(Results!$T$2:$T$101,"Yes")</f>
        <v>46</v>
      </c>
    </row>
    <row r="18" customFormat="false" ht="15" hidden="false" customHeight="false" outlineLevel="0" collapsed="false">
      <c r="A18" s="4" t="s">
        <v>30</v>
      </c>
      <c r="B18" s="5" t="n">
        <f aca="false">'Detection Eval'!H19</f>
        <v>46</v>
      </c>
    </row>
    <row r="19" customFormat="false" ht="15" hidden="false" customHeight="false" outlineLevel="0" collapsed="false">
      <c r="A19" s="4" t="s">
        <v>31</v>
      </c>
      <c r="B19" s="6" t="n">
        <f aca="false">IF(B17=0,0,B18/B17)</f>
        <v>1</v>
      </c>
    </row>
    <row r="20" customFormat="false" ht="15" hidden="false" customHeight="false" outlineLevel="0" collapsed="false">
      <c r="A20" s="4" t="s">
        <v>32</v>
      </c>
      <c r="B20" s="5" t="n">
        <f aca="false">COUNTIFS(Results!$T$2:$T$101,"No",Results!$I$2:$I$101,"&gt;0")</f>
        <v>0</v>
      </c>
    </row>
    <row r="21" customFormat="false" ht="15" hidden="false" customHeight="false" outlineLevel="0" collapsed="false">
      <c r="A21" s="4" t="s">
        <v>33</v>
      </c>
      <c r="B21" s="6" t="n">
        <f aca="false">SUM('Address Data'!$D$2:$D$189)/COUNTA('Address Data'!$A$2:$A$189)</f>
        <v>0.973404255319149</v>
      </c>
    </row>
    <row r="22" customFormat="false" ht="15" hidden="false" customHeight="false" outlineLevel="0" collapsed="false">
      <c r="A22" s="4" t="s">
        <v>34</v>
      </c>
      <c r="B22" s="6" t="n">
        <f aca="false">SUM('Address Data'!$E$2:$E$189)/COUNTA('Address Data'!$A$2:$A$189)</f>
        <v>0.425531914893617</v>
      </c>
    </row>
    <row r="24" customFormat="false" ht="15" hidden="false" customHeight="false" outlineLevel="0" collapsed="false">
      <c r="A24" s="3" t="s">
        <v>35</v>
      </c>
    </row>
    <row r="25" customFormat="false" ht="15" hidden="false" customHeight="false" outlineLevel="0" collapsed="false">
      <c r="A25" s="8" t="s">
        <v>36</v>
      </c>
      <c r="B25" s="8" t="s">
        <v>37</v>
      </c>
      <c r="C25" s="8" t="s">
        <v>38</v>
      </c>
    </row>
    <row r="26" customFormat="false" ht="15" hidden="false" customHeight="false" outlineLevel="0" collapsed="false">
      <c r="A26" s="4" t="s">
        <v>39</v>
      </c>
      <c r="B26" s="4" t="n">
        <f aca="false">COUNTIF(Results!$G$2:$G$101,A26)</f>
        <v>42</v>
      </c>
      <c r="C26" s="9" t="n">
        <f aca="false">B26/$B$5</f>
        <v>0.42</v>
      </c>
    </row>
    <row r="27" customFormat="false" ht="15" hidden="false" customHeight="false" outlineLevel="0" collapsed="false">
      <c r="A27" s="4" t="s">
        <v>40</v>
      </c>
      <c r="B27" s="4" t="n">
        <f aca="false">COUNTIF(Results!$G$2:$G$101,A27)</f>
        <v>31</v>
      </c>
      <c r="C27" s="9" t="n">
        <f aca="false">B27/$B$5</f>
        <v>0.31</v>
      </c>
    </row>
    <row r="28" customFormat="false" ht="15" hidden="false" customHeight="false" outlineLevel="0" collapsed="false">
      <c r="A28" s="4" t="s">
        <v>41</v>
      </c>
      <c r="B28" s="4" t="n">
        <f aca="false">COUNTIF(Results!$G$2:$G$101,A28)</f>
        <v>21</v>
      </c>
      <c r="C28" s="9" t="n">
        <f aca="false">B28/$B$5</f>
        <v>0.21</v>
      </c>
    </row>
    <row r="29" customFormat="false" ht="15" hidden="false" customHeight="false" outlineLevel="0" collapsed="false">
      <c r="A29" s="4" t="s">
        <v>42</v>
      </c>
      <c r="B29" s="4" t="n">
        <f aca="false">COUNTIF(Results!$G$2:$G$101,A29)</f>
        <v>6</v>
      </c>
      <c r="C29" s="9" t="n">
        <f aca="false">B29/$B$5</f>
        <v>0.06</v>
      </c>
    </row>
    <row r="32" customFormat="false" ht="15" hidden="false" customHeight="false" outlineLevel="0" collapsed="false">
      <c r="A32" s="3" t="s">
        <v>43</v>
      </c>
    </row>
    <row r="33" customFormat="false" ht="15" hidden="false" customHeight="false" outlineLevel="0" collapsed="false">
      <c r="A33" s="8" t="s">
        <v>44</v>
      </c>
      <c r="B33" s="8" t="s">
        <v>45</v>
      </c>
      <c r="C33" s="8" t="s">
        <v>38</v>
      </c>
    </row>
    <row r="34" customFormat="false" ht="15" hidden="false" customHeight="false" outlineLevel="0" collapsed="false">
      <c r="A34" s="4" t="s">
        <v>46</v>
      </c>
      <c r="B34" s="4" t="n">
        <f aca="false">COUNTIF(Findings!$C$2:$C$509,A34)</f>
        <v>6</v>
      </c>
      <c r="C34" s="9" t="n">
        <f aca="false">B34/COUNTA(Findings!$A$2:$A$509)</f>
        <v>0.0118110236220472</v>
      </c>
    </row>
    <row r="35" customFormat="false" ht="15" hidden="false" customHeight="false" outlineLevel="0" collapsed="false">
      <c r="A35" s="4" t="s">
        <v>47</v>
      </c>
      <c r="B35" s="4" t="n">
        <f aca="false">COUNTIF(Findings!$C$2:$C$509,A35)</f>
        <v>1</v>
      </c>
      <c r="C35" s="9" t="n">
        <f aca="false">B35/COUNTA(Findings!$A$2:$A$509)</f>
        <v>0.00196850393700787</v>
      </c>
    </row>
    <row r="36" customFormat="false" ht="15" hidden="false" customHeight="false" outlineLevel="0" collapsed="false">
      <c r="A36" s="4" t="s">
        <v>48</v>
      </c>
      <c r="B36" s="4" t="n">
        <f aca="false">COUNTIF(Findings!$C$2:$C$509,A36)</f>
        <v>110</v>
      </c>
      <c r="C36" s="9" t="n">
        <f aca="false">B36/COUNTA(Findings!$A$2:$A$509)</f>
        <v>0.216535433070866</v>
      </c>
    </row>
    <row r="37" customFormat="false" ht="15" hidden="false" customHeight="false" outlineLevel="0" collapsed="false">
      <c r="A37" s="4" t="s">
        <v>49</v>
      </c>
      <c r="B37" s="4" t="n">
        <f aca="false">COUNTIF(Findings!$C$2:$C$509,A37)</f>
        <v>5</v>
      </c>
      <c r="C37" s="9" t="n">
        <f aca="false">B37/COUNTA(Findings!$A$2:$A$509)</f>
        <v>0.00984251968503937</v>
      </c>
    </row>
    <row r="38" customFormat="false" ht="15" hidden="false" customHeight="false" outlineLevel="0" collapsed="false">
      <c r="A38" s="4" t="s">
        <v>50</v>
      </c>
      <c r="B38" s="4" t="n">
        <f aca="false">COUNTIF(Findings!$C$2:$C$509,A38)</f>
        <v>6</v>
      </c>
      <c r="C38" s="9" t="n">
        <f aca="false">B38/COUNTA(Findings!$A$2:$A$509)</f>
        <v>0.0118110236220472</v>
      </c>
    </row>
    <row r="39" customFormat="false" ht="15" hidden="false" customHeight="false" outlineLevel="0" collapsed="false">
      <c r="A39" s="4" t="s">
        <v>51</v>
      </c>
      <c r="B39" s="4" t="n">
        <f aca="false">COUNTIF(Findings!$C$2:$C$509,A39)</f>
        <v>153</v>
      </c>
      <c r="C39" s="9" t="n">
        <f aca="false">B39/COUNTA(Findings!$A$2:$A$509)</f>
        <v>0.301181102362205</v>
      </c>
    </row>
    <row r="40" customFormat="false" ht="15" hidden="false" customHeight="false" outlineLevel="0" collapsed="false">
      <c r="A40" s="4" t="s">
        <v>52</v>
      </c>
      <c r="B40" s="4" t="n">
        <f aca="false">COUNTIF(Findings!$C$2:$C$509,A40)</f>
        <v>227</v>
      </c>
      <c r="C40" s="9" t="n">
        <f aca="false">B40/COUNTA(Findings!$A$2:$A$509)</f>
        <v>0.446850393700787</v>
      </c>
    </row>
    <row r="43" customFormat="false" ht="15" hidden="false" customHeight="false" outlineLevel="0" collapsed="false">
      <c r="A43" s="3" t="s">
        <v>53</v>
      </c>
    </row>
    <row r="44" customFormat="false" ht="15" hidden="false" customHeight="false" outlineLevel="0" collapsed="false">
      <c r="A44" s="8" t="s">
        <v>54</v>
      </c>
      <c r="B44" s="8" t="s">
        <v>37</v>
      </c>
      <c r="C44" s="8" t="s">
        <v>55</v>
      </c>
      <c r="D44" s="8" t="s">
        <v>56</v>
      </c>
      <c r="E44" s="8" t="s">
        <v>57</v>
      </c>
      <c r="F44" s="8" t="s">
        <v>58</v>
      </c>
      <c r="G44" s="8" t="s">
        <v>59</v>
      </c>
      <c r="I44" s="3" t="s">
        <v>60</v>
      </c>
    </row>
    <row r="45" customFormat="false" ht="15" hidden="false" customHeight="false" outlineLevel="0" collapsed="false">
      <c r="A45" s="4" t="s">
        <v>61</v>
      </c>
      <c r="B45" s="4" t="n">
        <f aca="false">COUNTIF(Results!$B$2:$B$101,A45)</f>
        <v>40</v>
      </c>
      <c r="C45" s="4" t="n">
        <f aca="false">COUNTIFS(Results!$B$2:$B$101,$A45,Results!$G$2:$G$101,"PASS_CLEAN")</f>
        <v>18</v>
      </c>
      <c r="D45" s="4" t="n">
        <f aca="false">COUNTIFS(Results!$B$2:$B$101,$A45,Results!$G$2:$G$101,"PASS_WITH_WARNINGS")</f>
        <v>11</v>
      </c>
      <c r="E45" s="4" t="n">
        <f aca="false">COUNTIFS(Results!$B$2:$B$101,$A45,Results!$G$2:$G$101,"FAILED_VALIDATION")</f>
        <v>8</v>
      </c>
      <c r="F45" s="4" t="n">
        <f aca="false">COUNTIFS(Results!$B$2:$B$101,$A45,Results!$G$2:$G$101,"REJECTED")</f>
        <v>3</v>
      </c>
      <c r="G45" s="9" t="n">
        <f aca="false">IF(B45=0,0,(E45+F45)/B45)</f>
        <v>0.275</v>
      </c>
      <c r="I45" s="2" t="s">
        <v>62</v>
      </c>
    </row>
    <row r="46" customFormat="false" ht="15" hidden="false" customHeight="false" outlineLevel="0" collapsed="false">
      <c r="A46" s="4" t="s">
        <v>63</v>
      </c>
      <c r="B46" s="4" t="n">
        <f aca="false">COUNTIF(Results!$B$2:$B$101,A46)</f>
        <v>25</v>
      </c>
      <c r="C46" s="4" t="n">
        <f aca="false">COUNTIFS(Results!$B$2:$B$101,$A46,Results!$G$2:$G$101,"PASS_CLEAN")</f>
        <v>9</v>
      </c>
      <c r="D46" s="4" t="n">
        <f aca="false">COUNTIFS(Results!$B$2:$B$101,$A46,Results!$G$2:$G$101,"PASS_WITH_WARNINGS")</f>
        <v>9</v>
      </c>
      <c r="E46" s="4" t="n">
        <f aca="false">COUNTIFS(Results!$B$2:$B$101,$A46,Results!$G$2:$G$101,"FAILED_VALIDATION")</f>
        <v>6</v>
      </c>
      <c r="F46" s="4" t="n">
        <f aca="false">COUNTIFS(Results!$B$2:$B$101,$A46,Results!$G$2:$G$101,"REJECTED")</f>
        <v>1</v>
      </c>
      <c r="G46" s="9" t="n">
        <f aca="false">IF(B46=0,0,(E46+F46)/B46)</f>
        <v>0.28</v>
      </c>
      <c r="I46" s="2" t="s">
        <v>64</v>
      </c>
    </row>
    <row r="47" customFormat="false" ht="15" hidden="false" customHeight="false" outlineLevel="0" collapsed="false">
      <c r="A47" s="4" t="s">
        <v>65</v>
      </c>
      <c r="B47" s="4" t="n">
        <f aca="false">COUNTIF(Results!$B$2:$B$101,A47)</f>
        <v>25</v>
      </c>
      <c r="C47" s="4" t="n">
        <f aca="false">COUNTIFS(Results!$B$2:$B$101,$A47,Results!$G$2:$G$101,"PASS_CLEAN")</f>
        <v>10</v>
      </c>
      <c r="D47" s="4" t="n">
        <f aca="false">COUNTIFS(Results!$B$2:$B$101,$A47,Results!$G$2:$G$101,"PASS_WITH_WARNINGS")</f>
        <v>8</v>
      </c>
      <c r="E47" s="4" t="n">
        <f aca="false">COUNTIFS(Results!$B$2:$B$101,$A47,Results!$G$2:$G$101,"FAILED_VALIDATION")</f>
        <v>5</v>
      </c>
      <c r="F47" s="4" t="n">
        <f aca="false">COUNTIFS(Results!$B$2:$B$101,$A47,Results!$G$2:$G$101,"REJECTED")</f>
        <v>2</v>
      </c>
      <c r="G47" s="9" t="n">
        <f aca="false">IF(B47=0,0,(E47+F47)/B47)</f>
        <v>0.28</v>
      </c>
      <c r="I47" s="2" t="s">
        <v>66</v>
      </c>
    </row>
    <row r="48" customFormat="false" ht="15" hidden="false" customHeight="false" outlineLevel="0" collapsed="false">
      <c r="A48" s="4" t="s">
        <v>67</v>
      </c>
      <c r="B48" s="4" t="n">
        <f aca="false">COUNTIF(Results!$B$2:$B$101,A48)</f>
        <v>10</v>
      </c>
      <c r="C48" s="4" t="n">
        <f aca="false">COUNTIFS(Results!$B$2:$B$101,$A48,Results!$G$2:$G$101,"PASS_CLEAN")</f>
        <v>5</v>
      </c>
      <c r="D48" s="4" t="n">
        <f aca="false">COUNTIFS(Results!$B$2:$B$101,$A48,Results!$G$2:$G$101,"PASS_WITH_WARNINGS")</f>
        <v>3</v>
      </c>
      <c r="E48" s="4" t="n">
        <f aca="false">COUNTIFS(Results!$B$2:$B$101,$A48,Results!$G$2:$G$101,"FAILED_VALIDATION")</f>
        <v>2</v>
      </c>
      <c r="F48" s="4" t="n">
        <f aca="false">COUNTIFS(Results!$B$2:$B$101,$A48,Results!$G$2:$G$101,"REJECTED")</f>
        <v>0</v>
      </c>
      <c r="G48" s="9" t="n">
        <f aca="false">IF(B48=0,0,(E48+F48)/B48)</f>
        <v>0.2</v>
      </c>
      <c r="I48" s="2" t="s">
        <v>68</v>
      </c>
    </row>
    <row r="51" customFormat="false" ht="15" hidden="false" customHeight="false" outlineLevel="0" collapsed="false">
      <c r="A51" s="3" t="s">
        <v>69</v>
      </c>
    </row>
    <row r="52" customFormat="false" ht="15" hidden="false" customHeight="false" outlineLevel="0" collapsed="false">
      <c r="A52" s="8" t="s">
        <v>70</v>
      </c>
      <c r="B52" s="8" t="s">
        <v>71</v>
      </c>
      <c r="C52" s="8" t="s">
        <v>72</v>
      </c>
      <c r="D52" s="8" t="s">
        <v>73</v>
      </c>
      <c r="E52" s="8" t="s">
        <v>74</v>
      </c>
      <c r="F52" s="8" t="s">
        <v>75</v>
      </c>
    </row>
    <row r="53" customFormat="false" ht="15" hidden="false" customHeight="false" outlineLevel="0" collapsed="false">
      <c r="A53" s="4" t="s">
        <v>76</v>
      </c>
      <c r="B53" s="4" t="n">
        <f aca="false">COUNTIF('Address Data'!$C$2:$C$189,A53)</f>
        <v>27</v>
      </c>
      <c r="C53" s="4" t="n">
        <f aca="false">SUMIF('Address Data'!$C$2:$C$189,A53,'Address Data'!$D$2:$D$189)</f>
        <v>25</v>
      </c>
      <c r="D53" s="4" t="n">
        <f aca="false">SUMIF('Address Data'!$C$2:$C$189,A53,'Address Data'!$E$2:$E$189)</f>
        <v>10</v>
      </c>
      <c r="E53" s="9" t="n">
        <f aca="false">IF(B53=0,0,C53/B53)</f>
        <v>0.925925925925926</v>
      </c>
      <c r="F53" s="9" t="n">
        <f aca="false">IF(B53=0,0,D53/B53)</f>
        <v>0.37037037037037</v>
      </c>
    </row>
    <row r="54" customFormat="false" ht="15" hidden="false" customHeight="false" outlineLevel="0" collapsed="false">
      <c r="A54" s="4" t="s">
        <v>77</v>
      </c>
      <c r="B54" s="4" t="n">
        <f aca="false">COUNTIF('Address Data'!$C$2:$C$189,A54)</f>
        <v>10</v>
      </c>
      <c r="C54" s="4" t="n">
        <f aca="false">SUMIF('Address Data'!$C$2:$C$189,A54,'Address Data'!$D$2:$D$189)</f>
        <v>10</v>
      </c>
      <c r="D54" s="4" t="n">
        <f aca="false">SUMIF('Address Data'!$C$2:$C$189,A54,'Address Data'!$E$2:$E$189)</f>
        <v>6</v>
      </c>
      <c r="E54" s="9" t="n">
        <f aca="false">IF(B54=0,0,C54/B54)</f>
        <v>1</v>
      </c>
      <c r="F54" s="9" t="n">
        <f aca="false">IF(B54=0,0,D54/B54)</f>
        <v>0.6</v>
      </c>
    </row>
    <row r="55" customFormat="false" ht="15" hidden="false" customHeight="false" outlineLevel="0" collapsed="false">
      <c r="A55" s="4" t="s">
        <v>78</v>
      </c>
      <c r="B55" s="4" t="n">
        <f aca="false">COUNTIF('Address Data'!$C$2:$C$189,A55)</f>
        <v>10</v>
      </c>
      <c r="C55" s="4" t="n">
        <f aca="false">SUMIF('Address Data'!$C$2:$C$189,A55,'Address Data'!$D$2:$D$189)</f>
        <v>10</v>
      </c>
      <c r="D55" s="4" t="n">
        <f aca="false">SUMIF('Address Data'!$C$2:$C$189,A55,'Address Data'!$E$2:$E$189)</f>
        <v>10</v>
      </c>
      <c r="E55" s="9" t="n">
        <f aca="false">IF(B55=0,0,C55/B55)</f>
        <v>1</v>
      </c>
      <c r="F55" s="9" t="n">
        <f aca="false">IF(B55=0,0,D55/B55)</f>
        <v>1</v>
      </c>
    </row>
    <row r="56" customFormat="false" ht="15" hidden="false" customHeight="false" outlineLevel="0" collapsed="false">
      <c r="A56" s="4" t="s">
        <v>79</v>
      </c>
      <c r="B56" s="4" t="n">
        <f aca="false">COUNTIF('Address Data'!$C$2:$C$189,A56)</f>
        <v>14</v>
      </c>
      <c r="C56" s="4" t="n">
        <f aca="false">SUMIF('Address Data'!$C$2:$C$189,A56,'Address Data'!$D$2:$D$189)</f>
        <v>13</v>
      </c>
      <c r="D56" s="4" t="n">
        <f aca="false">SUMIF('Address Data'!$C$2:$C$189,A56,'Address Data'!$E$2:$E$189)</f>
        <v>7</v>
      </c>
      <c r="E56" s="9" t="n">
        <f aca="false">IF(B56=0,0,C56/B56)</f>
        <v>0.928571428571429</v>
      </c>
      <c r="F56" s="9" t="n">
        <f aca="false">IF(B56=0,0,D56/B56)</f>
        <v>0.5</v>
      </c>
    </row>
    <row r="57" customFormat="false" ht="15" hidden="false" customHeight="false" outlineLevel="0" collapsed="false">
      <c r="A57" s="4" t="s">
        <v>80</v>
      </c>
      <c r="B57" s="4" t="n">
        <f aca="false">COUNTIF('Address Data'!$C$2:$C$189,A57)</f>
        <v>94</v>
      </c>
      <c r="C57" s="4" t="n">
        <f aca="false">SUMIF('Address Data'!$C$2:$C$189,A57,'Address Data'!$D$2:$D$189)</f>
        <v>93</v>
      </c>
      <c r="D57" s="4" t="n">
        <f aca="false">SUMIF('Address Data'!$C$2:$C$189,A57,'Address Data'!$E$2:$E$189)</f>
        <v>17</v>
      </c>
      <c r="E57" s="9" t="n">
        <f aca="false">IF(B57=0,0,C57/B57)</f>
        <v>0.98936170212766</v>
      </c>
      <c r="F57" s="9" t="n">
        <f aca="false">IF(B57=0,0,D57/B57)</f>
        <v>0.180851063829787</v>
      </c>
    </row>
    <row r="58" customFormat="false" ht="15" hidden="false" customHeight="false" outlineLevel="0" collapsed="false">
      <c r="A58" s="4" t="s">
        <v>81</v>
      </c>
      <c r="B58" s="4" t="n">
        <f aca="false">COUNTIF('Address Data'!$C$2:$C$189,A58)</f>
        <v>5</v>
      </c>
      <c r="C58" s="4" t="n">
        <f aca="false">SUMIF('Address Data'!$C$2:$C$189,A58,'Address Data'!$D$2:$D$189)</f>
        <v>5</v>
      </c>
      <c r="D58" s="4" t="n">
        <f aca="false">SUMIF('Address Data'!$C$2:$C$189,A58,'Address Data'!$E$2:$E$189)</f>
        <v>2</v>
      </c>
      <c r="E58" s="9" t="n">
        <f aca="false">IF(B58=0,0,C58/B58)</f>
        <v>1</v>
      </c>
      <c r="F58" s="9" t="n">
        <f aca="false">IF(B58=0,0,D58/B58)</f>
        <v>0.4</v>
      </c>
    </row>
    <row r="59" customFormat="false" ht="15" hidden="false" customHeight="false" outlineLevel="0" collapsed="false">
      <c r="A59" s="4" t="s">
        <v>82</v>
      </c>
      <c r="B59" s="4" t="n">
        <f aca="false">COUNTIF('Address Data'!$C$2:$C$189,A59)</f>
        <v>6</v>
      </c>
      <c r="C59" s="4" t="n">
        <f aca="false">SUMIF('Address Data'!$C$2:$C$189,A59,'Address Data'!$D$2:$D$189)</f>
        <v>6</v>
      </c>
      <c r="D59" s="4" t="n">
        <f aca="false">SUMIF('Address Data'!$C$2:$C$189,A59,'Address Data'!$E$2:$E$189)</f>
        <v>6</v>
      </c>
      <c r="E59" s="9" t="n">
        <f aca="false">IF(B59=0,0,C59/B59)</f>
        <v>1</v>
      </c>
      <c r="F59" s="9" t="n">
        <f aca="false">IF(B59=0,0,D59/B59)</f>
        <v>1</v>
      </c>
    </row>
    <row r="60" customFormat="false" ht="15" hidden="false" customHeight="false" outlineLevel="0" collapsed="false">
      <c r="A60" s="4" t="s">
        <v>83</v>
      </c>
      <c r="B60" s="4" t="n">
        <f aca="false">COUNTIF('Address Data'!$C$2:$C$189,A60)</f>
        <v>22</v>
      </c>
      <c r="C60" s="4" t="n">
        <f aca="false">SUMIF('Address Data'!$C$2:$C$189,A60,'Address Data'!$D$2:$D$189)</f>
        <v>21</v>
      </c>
      <c r="D60" s="4" t="n">
        <f aca="false">SUMIF('Address Data'!$C$2:$C$189,A60,'Address Data'!$E$2:$E$189)</f>
        <v>22</v>
      </c>
      <c r="E60" s="9" t="n">
        <f aca="false">IF(B60=0,0,C60/B60)</f>
        <v>0.954545454545455</v>
      </c>
      <c r="F60" s="9" t="n">
        <f aca="false">IF(B60=0,0,D60/B60)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10" t="s">
        <v>85</v>
      </c>
    </row>
    <row r="3" customFormat="false" ht="15" hidden="false" customHeight="false" outlineLevel="0" collapsed="false">
      <c r="A3" s="3" t="s">
        <v>86</v>
      </c>
      <c r="B3" s="11" t="n">
        <v>2</v>
      </c>
    </row>
    <row r="4" customFormat="false" ht="15" hidden="false" customHeight="false" outlineLevel="0" collapsed="false">
      <c r="A4" s="8" t="s">
        <v>87</v>
      </c>
      <c r="B4" s="8" t="s">
        <v>88</v>
      </c>
      <c r="C4" s="8" t="s">
        <v>89</v>
      </c>
      <c r="D4" s="8" t="s">
        <v>90</v>
      </c>
      <c r="E4" s="8" t="s">
        <v>91</v>
      </c>
      <c r="F4" s="8" t="s">
        <v>92</v>
      </c>
    </row>
    <row r="5" customFormat="false" ht="15" hidden="false" customHeight="false" outlineLevel="0" collapsed="false">
      <c r="A5" s="4" t="s">
        <v>93</v>
      </c>
      <c r="B5" s="12" t="n">
        <v>400000</v>
      </c>
      <c r="C5" s="12" t="n">
        <v>600000</v>
      </c>
      <c r="D5" s="12" t="n">
        <v>800000</v>
      </c>
      <c r="E5" s="13" t="n">
        <f aca="false">CHOOSE($B$3,B5,C5,D5)</f>
        <v>600000</v>
      </c>
      <c r="F5" s="4" t="s">
        <v>94</v>
      </c>
    </row>
    <row r="6" customFormat="false" ht="15" hidden="false" customHeight="false" outlineLevel="0" collapsed="false">
      <c r="A6" s="4" t="s">
        <v>95</v>
      </c>
      <c r="B6" s="14" t="n">
        <v>0.025</v>
      </c>
      <c r="C6" s="14" t="n">
        <v>0.04</v>
      </c>
      <c r="D6" s="14" t="n">
        <v>0.055</v>
      </c>
      <c r="E6" s="6" t="n">
        <f aca="false">CHOOSE($B$3,B6,C6,D6)</f>
        <v>0.04</v>
      </c>
      <c r="F6" s="4" t="s">
        <v>96</v>
      </c>
    </row>
    <row r="7" customFormat="false" ht="15" hidden="false" customHeight="false" outlineLevel="0" collapsed="false">
      <c r="A7" s="4" t="s">
        <v>97</v>
      </c>
      <c r="B7" s="14" t="n">
        <v>0.15</v>
      </c>
      <c r="C7" s="14" t="n">
        <v>0.3</v>
      </c>
      <c r="D7" s="14" t="n">
        <v>0.45</v>
      </c>
      <c r="E7" s="6" t="n">
        <f aca="false">CHOOSE($B$3,B7,C7,D7)</f>
        <v>0.3</v>
      </c>
      <c r="F7" s="4" t="s">
        <v>98</v>
      </c>
    </row>
    <row r="8" customFormat="false" ht="15" hidden="false" customHeight="false" outlineLevel="0" collapsed="false">
      <c r="A8" s="4" t="s">
        <v>99</v>
      </c>
      <c r="B8" s="15" t="n">
        <v>8</v>
      </c>
      <c r="C8" s="15" t="n">
        <v>12</v>
      </c>
      <c r="D8" s="15" t="n">
        <v>16</v>
      </c>
      <c r="E8" s="16" t="n">
        <f aca="false">CHOOSE($B$3,B8,C8,D8)</f>
        <v>12</v>
      </c>
      <c r="F8" s="4" t="s">
        <v>100</v>
      </c>
    </row>
    <row r="9" customFormat="false" ht="15" hidden="false" customHeight="false" outlineLevel="0" collapsed="false">
      <c r="A9" s="4" t="s">
        <v>101</v>
      </c>
      <c r="B9" s="14" t="n">
        <v>0.02</v>
      </c>
      <c r="C9" s="14" t="n">
        <v>0.03</v>
      </c>
      <c r="D9" s="14" t="n">
        <v>0.04</v>
      </c>
      <c r="E9" s="6" t="n">
        <f aca="false">CHOOSE($B$3,B9,C9,D9)</f>
        <v>0.03</v>
      </c>
      <c r="F9" s="4" t="s">
        <v>102</v>
      </c>
    </row>
    <row r="10" customFormat="false" ht="15" hidden="false" customHeight="false" outlineLevel="0" collapsed="false">
      <c r="A10" s="4" t="s">
        <v>103</v>
      </c>
      <c r="B10" s="14" t="n">
        <v>0.05</v>
      </c>
      <c r="C10" s="14" t="n">
        <v>0.12</v>
      </c>
      <c r="D10" s="14" t="n">
        <v>0.2</v>
      </c>
      <c r="E10" s="6" t="n">
        <f aca="false">CHOOSE($B$3,B10,C10,D10)</f>
        <v>0.12</v>
      </c>
      <c r="F10" s="4" t="s">
        <v>104</v>
      </c>
    </row>
    <row r="11" customFormat="false" ht="15" hidden="false" customHeight="false" outlineLevel="0" collapsed="false">
      <c r="A11" s="4" t="s">
        <v>105</v>
      </c>
      <c r="B11" s="15" t="n">
        <v>6</v>
      </c>
      <c r="C11" s="15" t="n">
        <v>10</v>
      </c>
      <c r="D11" s="15" t="n">
        <v>14</v>
      </c>
      <c r="E11" s="16" t="n">
        <f aca="false">CHOOSE($B$3,B11,C11,D11)</f>
        <v>10</v>
      </c>
      <c r="F11" s="4" t="s">
        <v>106</v>
      </c>
    </row>
    <row r="12" customFormat="false" ht="15" hidden="false" customHeight="false" outlineLevel="0" collapsed="false">
      <c r="A12" s="4" t="s">
        <v>107</v>
      </c>
      <c r="B12" s="15" t="n">
        <v>900000</v>
      </c>
      <c r="C12" s="15" t="n">
        <v>650000</v>
      </c>
      <c r="D12" s="15" t="n">
        <v>500000</v>
      </c>
      <c r="E12" s="16" t="n">
        <f aca="false">CHOOSE($B$3,B12,C12,D12)</f>
        <v>650000</v>
      </c>
      <c r="F12" s="4" t="s">
        <v>108</v>
      </c>
    </row>
    <row r="13" customFormat="false" ht="15" hidden="false" customHeight="false" outlineLevel="0" collapsed="false">
      <c r="A13" s="4" t="s">
        <v>109</v>
      </c>
      <c r="B13" s="15" t="n">
        <v>150000</v>
      </c>
      <c r="C13" s="15" t="n">
        <v>110000</v>
      </c>
      <c r="D13" s="15" t="n">
        <v>80000</v>
      </c>
      <c r="E13" s="16" t="n">
        <f aca="false">CHOOSE($B$3,B13,C13,D13)</f>
        <v>110000</v>
      </c>
      <c r="F13" s="4" t="s">
        <v>110</v>
      </c>
    </row>
    <row r="14" customFormat="false" ht="15" hidden="false" customHeight="false" outlineLevel="0" collapsed="false">
      <c r="A14" s="4" t="s">
        <v>111</v>
      </c>
      <c r="B14" s="14" t="n">
        <v>0.12</v>
      </c>
      <c r="C14" s="14" t="n">
        <v>0.1</v>
      </c>
      <c r="D14" s="14" t="n">
        <v>0.08</v>
      </c>
      <c r="E14" s="6" t="n">
        <f aca="false">CHOOSE($B$3,B14,C14,D14)</f>
        <v>0.1</v>
      </c>
      <c r="F14" s="4" t="s">
        <v>112</v>
      </c>
    </row>
    <row r="15" customFormat="false" ht="15" hidden="false" customHeight="false" outlineLevel="0" collapsed="false">
      <c r="A15" s="4" t="s">
        <v>113</v>
      </c>
      <c r="B15" s="14" t="n">
        <v>0.02</v>
      </c>
      <c r="C15" s="14" t="n">
        <v>0.05</v>
      </c>
      <c r="D15" s="14" t="n">
        <v>0.08</v>
      </c>
      <c r="E15" s="6" t="n">
        <f aca="false">CHOOSE($B$3,B15,C15,D15)</f>
        <v>0.05</v>
      </c>
      <c r="F15" s="4" t="s">
        <v>114</v>
      </c>
    </row>
    <row r="16" customFormat="false" ht="15" hidden="false" customHeight="false" outlineLevel="0" collapsed="false">
      <c r="A16" s="4" t="s">
        <v>115</v>
      </c>
      <c r="B16" s="14" t="n">
        <v>0.4</v>
      </c>
      <c r="C16" s="14" t="n">
        <v>0.58</v>
      </c>
      <c r="D16" s="14" t="n">
        <v>0.6</v>
      </c>
      <c r="E16" s="6" t="n">
        <f aca="false">CHOOSE($B$3,B16,C16,D16)</f>
        <v>0.58</v>
      </c>
      <c r="F16" s="4" t="s">
        <v>116</v>
      </c>
    </row>
    <row r="17" customFormat="false" ht="15" hidden="false" customHeight="false" outlineLevel="0" collapsed="false">
      <c r="A17" s="4" t="s">
        <v>117</v>
      </c>
      <c r="B17" s="14" t="n">
        <v>0.02</v>
      </c>
      <c r="C17" s="14" t="n">
        <v>0.05</v>
      </c>
      <c r="D17" s="14" t="n">
        <v>0.1</v>
      </c>
      <c r="E17" s="6" t="n">
        <f aca="false">CHOOSE($B$3,B17,C17,D17)</f>
        <v>0.05</v>
      </c>
      <c r="F17" s="4" t="s">
        <v>118</v>
      </c>
    </row>
    <row r="18" customFormat="false" ht="15" hidden="false" customHeight="false" outlineLevel="0" collapsed="false">
      <c r="A18" s="4" t="s">
        <v>119</v>
      </c>
      <c r="B18" s="15" t="n">
        <v>20</v>
      </c>
      <c r="C18" s="15" t="n">
        <v>30</v>
      </c>
      <c r="D18" s="15" t="n">
        <v>45</v>
      </c>
      <c r="E18" s="16" t="n">
        <f aca="false">CHOOSE($B$3,B18,C18,D18)</f>
        <v>30</v>
      </c>
      <c r="F18" s="4" t="s">
        <v>120</v>
      </c>
    </row>
    <row r="20" customFormat="false" ht="15" hidden="false" customHeight="false" outlineLevel="0" collapsed="false">
      <c r="A20" s="3" t="s">
        <v>121</v>
      </c>
    </row>
    <row r="21" customFormat="false" ht="15" hidden="false" customHeight="false" outlineLevel="0" collapsed="false">
      <c r="A21" s="8" t="s">
        <v>122</v>
      </c>
      <c r="B21" s="8" t="s">
        <v>123</v>
      </c>
      <c r="C21" s="8" t="s">
        <v>124</v>
      </c>
      <c r="D21" s="8" t="s">
        <v>125</v>
      </c>
      <c r="E21" s="8" t="s">
        <v>126</v>
      </c>
      <c r="F21" s="8" t="s">
        <v>127</v>
      </c>
      <c r="G21" s="8" t="s">
        <v>128</v>
      </c>
    </row>
    <row r="22" customFormat="false" ht="15" hidden="false" customHeight="false" outlineLevel="0" collapsed="false">
      <c r="A22" s="17" t="s">
        <v>129</v>
      </c>
      <c r="B22" s="17" t="n">
        <v>0</v>
      </c>
      <c r="C22" s="17" t="n">
        <v>1</v>
      </c>
      <c r="D22" s="17" t="n">
        <v>2</v>
      </c>
      <c r="E22" s="17" t="n">
        <v>3</v>
      </c>
      <c r="F22" s="17" t="n">
        <v>4</v>
      </c>
      <c r="G22" s="17" t="n">
        <v>5</v>
      </c>
    </row>
    <row r="23" customFormat="false" ht="15" hidden="false" customHeight="false" outlineLevel="0" collapsed="false">
      <c r="A23" s="4" t="s">
        <v>130</v>
      </c>
      <c r="B23" s="4"/>
      <c r="C23" s="18" t="n">
        <f aca="false">$E$5*(1+$E$15)^(C$22-1)</f>
        <v>600000</v>
      </c>
      <c r="D23" s="18" t="n">
        <f aca="false">$E$5*(1+$E$15)^(D$22-1)</f>
        <v>630000</v>
      </c>
      <c r="E23" s="18" t="n">
        <f aca="false">$E$5*(1+$E$15)^(E$22-1)</f>
        <v>661500</v>
      </c>
      <c r="F23" s="18" t="n">
        <f aca="false">$E$5*(1+$E$15)^(F$22-1)</f>
        <v>694575</v>
      </c>
      <c r="G23" s="18" t="n">
        <f aca="false">$E$5*(1+$E$15)^(G$22-1)</f>
        <v>729303.75</v>
      </c>
    </row>
    <row r="24" customFormat="false" ht="15" hidden="false" customHeight="false" outlineLevel="0" collapsed="false">
      <c r="A24" s="4" t="s">
        <v>131</v>
      </c>
      <c r="B24" s="4"/>
      <c r="C24" s="19" t="n">
        <f aca="false">C23*$E$6*$E$7*$E$8</f>
        <v>86400</v>
      </c>
      <c r="D24" s="19" t="n">
        <f aca="false">D23*$E$6*$E$7*$E$8</f>
        <v>90720</v>
      </c>
      <c r="E24" s="19" t="n">
        <f aca="false">E23*$E$6*$E$7*$E$8</f>
        <v>95256</v>
      </c>
      <c r="F24" s="19" t="n">
        <f aca="false">F23*$E$6*$E$7*$E$8</f>
        <v>100018.8</v>
      </c>
      <c r="G24" s="19" t="n">
        <f aca="false">G23*$E$6*$E$7*$E$8</f>
        <v>105019.74</v>
      </c>
    </row>
    <row r="25" customFormat="false" ht="15" hidden="false" customHeight="false" outlineLevel="0" collapsed="false">
      <c r="A25" s="4" t="s">
        <v>132</v>
      </c>
      <c r="B25" s="4"/>
      <c r="C25" s="19" t="n">
        <f aca="false">C23*$E$9*$E$10*$E$11</f>
        <v>21600</v>
      </c>
      <c r="D25" s="19" t="n">
        <f aca="false">D23*$E$9*$E$10*$E$11</f>
        <v>22680</v>
      </c>
      <c r="E25" s="19" t="n">
        <f aca="false">E23*$E$9*$E$10*$E$11</f>
        <v>23814</v>
      </c>
      <c r="F25" s="19" t="n">
        <f aca="false">F23*$E$9*$E$10*$E$11</f>
        <v>25004.7</v>
      </c>
      <c r="G25" s="19" t="n">
        <f aca="false">G23*$E$9*$E$10*$E$11</f>
        <v>26254.935</v>
      </c>
    </row>
    <row r="26" customFormat="false" ht="15" hidden="false" customHeight="false" outlineLevel="0" collapsed="false">
      <c r="A26" s="4" t="s">
        <v>133</v>
      </c>
      <c r="B26" s="4"/>
      <c r="C26" s="19" t="n">
        <f aca="false">C23*$E$16*$E$17*$E$18</f>
        <v>522000</v>
      </c>
      <c r="D26" s="19" t="n">
        <f aca="false">D23*$E$16*$E$17*$E$18</f>
        <v>548100</v>
      </c>
      <c r="E26" s="19" t="n">
        <f aca="false">E23*$E$16*$E$17*$E$18</f>
        <v>575505</v>
      </c>
      <c r="F26" s="19" t="n">
        <f aca="false">F23*$E$16*$E$17*$E$18</f>
        <v>604280.25</v>
      </c>
      <c r="G26" s="19" t="n">
        <f aca="false">G23*$E$16*$E$17*$E$18</f>
        <v>634494.2625</v>
      </c>
    </row>
    <row r="27" customFormat="false" ht="15" hidden="false" customHeight="false" outlineLevel="0" collapsed="false">
      <c r="A27" s="17" t="s">
        <v>134</v>
      </c>
      <c r="B27" s="4"/>
      <c r="C27" s="16" t="n">
        <f aca="false">C24+C25+C26</f>
        <v>630000</v>
      </c>
      <c r="D27" s="16" t="n">
        <f aca="false">D24+D25+D26</f>
        <v>661500</v>
      </c>
      <c r="E27" s="16" t="n">
        <f aca="false">E24+E25+E26</f>
        <v>694575</v>
      </c>
      <c r="F27" s="16" t="n">
        <f aca="false">F24+F25+F26</f>
        <v>729303.75</v>
      </c>
      <c r="G27" s="16" t="n">
        <f aca="false">G24+G25+G26</f>
        <v>765768.9375</v>
      </c>
    </row>
    <row r="28" customFormat="false" ht="15" hidden="false" customHeight="false" outlineLevel="0" collapsed="false">
      <c r="A28" s="4" t="s">
        <v>135</v>
      </c>
      <c r="B28" s="4"/>
      <c r="C28" s="19" t="n">
        <f aca="false">-$E$13</f>
        <v>-110000</v>
      </c>
      <c r="D28" s="19" t="n">
        <f aca="false">-$E$13</f>
        <v>-110000</v>
      </c>
      <c r="E28" s="19" t="n">
        <f aca="false">-$E$13</f>
        <v>-110000</v>
      </c>
      <c r="F28" s="19" t="n">
        <f aca="false">-$E$13</f>
        <v>-110000</v>
      </c>
      <c r="G28" s="19" t="n">
        <f aca="false">-$E$13</f>
        <v>-110000</v>
      </c>
    </row>
    <row r="29" customFormat="false" ht="15" hidden="false" customHeight="false" outlineLevel="0" collapsed="false">
      <c r="A29" s="4" t="s">
        <v>107</v>
      </c>
      <c r="B29" s="19" t="n">
        <f aca="false">-$E$12</f>
        <v>-650000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</row>
    <row r="30" customFormat="false" ht="15" hidden="false" customHeight="false" outlineLevel="0" collapsed="false">
      <c r="A30" s="17" t="s">
        <v>136</v>
      </c>
      <c r="B30" s="16" t="n">
        <f aca="false">B29</f>
        <v>-650000</v>
      </c>
      <c r="C30" s="16" t="n">
        <f aca="false">C27+C28+C29</f>
        <v>520000</v>
      </c>
      <c r="D30" s="16" t="n">
        <f aca="false">D27+D28+D29</f>
        <v>551500</v>
      </c>
      <c r="E30" s="16" t="n">
        <f aca="false">E27+E28+E29</f>
        <v>584575</v>
      </c>
      <c r="F30" s="16" t="n">
        <f aca="false">F27+F28+F29</f>
        <v>619303.75</v>
      </c>
      <c r="G30" s="16" t="n">
        <f aca="false">G27+G28+G29</f>
        <v>655768.9375</v>
      </c>
    </row>
    <row r="31" customFormat="false" ht="15" hidden="false" customHeight="false" outlineLevel="0" collapsed="false">
      <c r="A31" s="4" t="s">
        <v>137</v>
      </c>
      <c r="B31" s="20" t="n">
        <f aca="false">1/(1+$E$14)^B22</f>
        <v>1</v>
      </c>
      <c r="C31" s="20" t="n">
        <f aca="false">1/(1+$E$14)^C22</f>
        <v>0.909090909090909</v>
      </c>
      <c r="D31" s="20" t="n">
        <f aca="false">1/(1+$E$14)^D22</f>
        <v>0.826446280991735</v>
      </c>
      <c r="E31" s="20" t="n">
        <f aca="false">1/(1+$E$14)^E22</f>
        <v>0.751314800901578</v>
      </c>
      <c r="F31" s="20" t="n">
        <f aca="false">1/(1+$E$14)^F22</f>
        <v>0.683013455365071</v>
      </c>
      <c r="G31" s="20" t="n">
        <f aca="false">1/(1+$E$14)^G22</f>
        <v>0.620921323059155</v>
      </c>
    </row>
    <row r="32" customFormat="false" ht="15" hidden="false" customHeight="false" outlineLevel="0" collapsed="false">
      <c r="A32" s="4" t="s">
        <v>138</v>
      </c>
      <c r="B32" s="19" t="n">
        <f aca="false">B30*B31</f>
        <v>-650000</v>
      </c>
      <c r="C32" s="19" t="n">
        <f aca="false">C30*C31</f>
        <v>472727.272727273</v>
      </c>
      <c r="D32" s="19" t="n">
        <f aca="false">D30*D31</f>
        <v>455785.123966942</v>
      </c>
      <c r="E32" s="19" t="n">
        <f aca="false">E30*E31</f>
        <v>439199.84973704</v>
      </c>
      <c r="F32" s="19" t="n">
        <f aca="false">F30*F31</f>
        <v>422992.794208046</v>
      </c>
      <c r="G32" s="19" t="n">
        <f aca="false">G30*G31</f>
        <v>407180.916293596</v>
      </c>
    </row>
    <row r="33" customFormat="false" ht="15" hidden="false" customHeight="false" outlineLevel="0" collapsed="false">
      <c r="A33" s="17" t="s">
        <v>139</v>
      </c>
      <c r="B33" s="16" t="n">
        <f aca="false">B30</f>
        <v>-650000</v>
      </c>
      <c r="C33" s="16" t="n">
        <f aca="false">B33+C30</f>
        <v>-130000</v>
      </c>
      <c r="D33" s="16" t="n">
        <f aca="false">C33+D30</f>
        <v>421500</v>
      </c>
      <c r="E33" s="16" t="n">
        <f aca="false">D33+E30</f>
        <v>1006075</v>
      </c>
      <c r="F33" s="16" t="n">
        <f aca="false">E33+F30</f>
        <v>1625378.75</v>
      </c>
      <c r="G33" s="16" t="n">
        <f aca="false">F33+G30</f>
        <v>2281147.6875</v>
      </c>
    </row>
    <row r="34" customFormat="false" ht="15" hidden="false" customHeight="false" outlineLevel="0" collapsed="false">
      <c r="A34" s="4" t="s">
        <v>140</v>
      </c>
      <c r="B34" s="4" t="n">
        <v>0</v>
      </c>
      <c r="C34" s="4" t="n">
        <f aca="false">IF(C33&gt;=0,1,0)</f>
        <v>0</v>
      </c>
      <c r="D34" s="4" t="n">
        <f aca="false">IF(D33&gt;=0,1,0)</f>
        <v>1</v>
      </c>
      <c r="E34" s="4" t="n">
        <f aca="false">IF(E33&gt;=0,1,0)</f>
        <v>1</v>
      </c>
      <c r="F34" s="4" t="n">
        <f aca="false">IF(F33&gt;=0,1,0)</f>
        <v>1</v>
      </c>
      <c r="G34" s="4" t="n">
        <f aca="false">IF(G33&gt;=0,1,0)</f>
        <v>1</v>
      </c>
    </row>
    <row r="36" customFormat="false" ht="15" hidden="false" customHeight="false" outlineLevel="0" collapsed="false">
      <c r="A36" s="3" t="s">
        <v>141</v>
      </c>
    </row>
    <row r="37" customFormat="false" ht="15" hidden="false" customHeight="false" outlineLevel="0" collapsed="false">
      <c r="A37" s="4" t="s">
        <v>142</v>
      </c>
      <c r="B37" s="16" t="n">
        <f aca="false">SUM(B32:G32)</f>
        <v>1547885.9569329</v>
      </c>
    </row>
    <row r="38" customFormat="false" ht="15" hidden="false" customHeight="false" outlineLevel="0" collapsed="false">
      <c r="A38" s="4" t="s">
        <v>143</v>
      </c>
      <c r="B38" s="16" t="n">
        <f aca="false">-$E$12+SUMPRODUCT((C24:G24+C25:G25+C28:G28)*C31:G31)</f>
        <v>-618722.687223302</v>
      </c>
    </row>
    <row r="39" customFormat="false" ht="15" hidden="false" customHeight="false" outlineLevel="0" collapsed="false">
      <c r="A39" s="4" t="s">
        <v>144</v>
      </c>
      <c r="B39" s="6" t="n">
        <f aca="false">IFERROR(IRR(B30:G30),"n/a")</f>
        <v>0.804102747207638</v>
      </c>
    </row>
    <row r="40" customFormat="false" ht="15" hidden="false" customHeight="false" outlineLevel="0" collapsed="false">
      <c r="A40" s="4" t="s">
        <v>145</v>
      </c>
      <c r="B40" s="5" t="n">
        <f aca="false">IFERROR(MATCH(1,C34:G34,0),"beyond year 5")</f>
        <v>2</v>
      </c>
    </row>
    <row r="41" customFormat="false" ht="15" hidden="false" customHeight="false" outlineLevel="0" collapsed="false">
      <c r="A41" s="4" t="s">
        <v>146</v>
      </c>
      <c r="B41" s="6" t="n">
        <f aca="false">(SUM(C27:G27)-($E$12+5*$E$13))/($E$12+5*$E$13)</f>
        <v>1.90095640625</v>
      </c>
    </row>
    <row r="42" customFormat="false" ht="15" hidden="false" customHeight="false" outlineLevel="0" collapsed="false">
      <c r="A42" s="4" t="s">
        <v>147</v>
      </c>
      <c r="B42" s="6" t="n">
        <f aca="false">SUM(C26:G26)/SUM(C27:G27)</f>
        <v>0.828571428571429</v>
      </c>
    </row>
    <row r="44" customFormat="false" ht="15" hidden="false" customHeight="false" outlineLevel="0" collapsed="false">
      <c r="A44" s="21" t="s">
        <v>148</v>
      </c>
    </row>
    <row r="45" customFormat="false" ht="15" hidden="false" customHeight="false" outlineLevel="0" collapsed="false">
      <c r="A45" s="4" t="s">
        <v>149</v>
      </c>
      <c r="B45" s="22" t="n">
        <f aca="false">Summary!B11</f>
        <v>0.27</v>
      </c>
    </row>
    <row r="47" customFormat="false" ht="15" hidden="false" customHeight="false" outlineLevel="0" collapsed="false">
      <c r="A47" s="3" t="s">
        <v>150</v>
      </c>
    </row>
    <row r="48" customFormat="false" ht="15" hidden="false" customHeight="false" outlineLevel="0" collapsed="false">
      <c r="A48" s="23" t="s">
        <v>151</v>
      </c>
      <c r="B48" s="24" t="n">
        <v>0.1</v>
      </c>
      <c r="C48" s="24" t="n">
        <v>0.2</v>
      </c>
      <c r="D48" s="24" t="n">
        <v>0.3</v>
      </c>
      <c r="E48" s="24" t="n">
        <v>0.4</v>
      </c>
      <c r="F48" s="24" t="n">
        <v>0.5</v>
      </c>
    </row>
    <row r="49" customFormat="false" ht="15" hidden="false" customHeight="false" outlineLevel="0" collapsed="false">
      <c r="A49" s="25" t="n">
        <v>200000</v>
      </c>
      <c r="B49" s="19" t="n">
        <f aca="false">-$E$12+SUMPRODUCT(($A49*(1+$E$15)^($C$22:$G$22-1)*($E$6*B$48*$E$8+$E$9*$E$10*$E$11+$E$16*$E$17*$E$18)-$E$13)/(1+$E$14)^$C$22:$G$22)</f>
        <v>-275053.729874388</v>
      </c>
      <c r="C49" s="19" t="n">
        <f aca="false">-$E$12+SUMPRODUCT(($A49*(1+$E$15)^($C$22:$G$22-1)*($E$6*C$48*$E$8+$E$9*$E$10*$E$11+$E$16*$E$17*$E$18)-$E$13)/(1+$E$14)^$C$22:$G$22)</f>
        <v>-235208.053660021</v>
      </c>
      <c r="D49" s="19" t="n">
        <f aca="false">-$E$12+SUMPRODUCT(($A49*(1+$E$15)^($C$22:$G$22-1)*($E$6*D$48*$E$8+$E$9*$E$10*$E$11+$E$16*$E$17*$E$18)-$E$13)/(1+$E$14)^$C$22:$G$22)</f>
        <v>-195362.377445654</v>
      </c>
      <c r="E49" s="19" t="n">
        <f aca="false">-$E$12+SUMPRODUCT(($A49*(1+$E$15)^($C$22:$G$22-1)*($E$6*E$48*$E$8+$E$9*$E$10*$E$11+$E$16*$E$17*$E$18)-$E$13)/(1+$E$14)^$C$22:$G$22)</f>
        <v>-155516.701231287</v>
      </c>
      <c r="F49" s="19" t="n">
        <f aca="false">-$E$12+SUMPRODUCT(($A49*(1+$E$15)^($C$22:$G$22-1)*($E$6*F$48*$E$8+$E$9*$E$10*$E$11+$E$16*$E$17*$E$18)-$E$13)/(1+$E$14)^$C$22:$G$22)</f>
        <v>-115671.02501692</v>
      </c>
    </row>
    <row r="50" customFormat="false" ht="15" hidden="false" customHeight="false" outlineLevel="0" collapsed="false">
      <c r="A50" s="25" t="n">
        <v>400000</v>
      </c>
      <c r="B50" s="19" t="n">
        <f aca="false">-$E$12+SUMPRODUCT(($A50*(1+$E$15)^($C$22:$G$22-1)*($E$6*B$48*$E$8+$E$9*$E$10*$E$11+$E$16*$E$17*$E$18)-$E$13)/(1+$E$14)^$C$22:$G$22)</f>
        <v>516879.084886154</v>
      </c>
      <c r="C50" s="19" t="n">
        <f aca="false">-$E$12+SUMPRODUCT(($A50*(1+$E$15)^($C$22:$G$22-1)*($E$6*C$48*$E$8+$E$9*$E$10*$E$11+$E$16*$E$17*$E$18)-$E$13)/(1+$E$14)^$C$22:$G$22)</f>
        <v>596570.437314887</v>
      </c>
      <c r="D50" s="19" t="n">
        <f aca="false">-$E$12+SUMPRODUCT(($A50*(1+$E$15)^($C$22:$G$22-1)*($E$6*D$48*$E$8+$E$9*$E$10*$E$11+$E$16*$E$17*$E$18)-$E$13)/(1+$E$14)^$C$22:$G$22)</f>
        <v>676261.789743621</v>
      </c>
      <c r="E50" s="19" t="n">
        <f aca="false">-$E$12+SUMPRODUCT(($A50*(1+$E$15)^($C$22:$G$22-1)*($E$6*E$48*$E$8+$E$9*$E$10*$E$11+$E$16*$E$17*$E$18)-$E$13)/(1+$E$14)^$C$22:$G$22)</f>
        <v>755953.142172355</v>
      </c>
      <c r="F50" s="19" t="n">
        <f aca="false">-$E$12+SUMPRODUCT(($A50*(1+$E$15)^($C$22:$G$22-1)*($E$6*F$48*$E$8+$E$9*$E$10*$E$11+$E$16*$E$17*$E$18)-$E$13)/(1+$E$14)^$C$22:$G$22)</f>
        <v>835644.494601089</v>
      </c>
    </row>
    <row r="51" customFormat="false" ht="15" hidden="false" customHeight="false" outlineLevel="0" collapsed="false">
      <c r="A51" s="25" t="n">
        <v>600000</v>
      </c>
      <c r="B51" s="19" t="n">
        <f aca="false">-$E$12+SUMPRODUCT(($A51*(1+$E$15)^($C$22:$G$22-1)*($E$6*B$48*$E$8+$E$9*$E$10*$E$11+$E$16*$E$17*$E$18)-$E$13)/(1+$E$14)^$C$22:$G$22)</f>
        <v>1308811.8996467</v>
      </c>
      <c r="C51" s="19" t="n">
        <f aca="false">-$E$12+SUMPRODUCT(($A51*(1+$E$15)^($C$22:$G$22-1)*($E$6*C$48*$E$8+$E$9*$E$10*$E$11+$E$16*$E$17*$E$18)-$E$13)/(1+$E$14)^$C$22:$G$22)</f>
        <v>1428348.9282898</v>
      </c>
      <c r="D51" s="19" t="n">
        <f aca="false">-$E$12+SUMPRODUCT(($A51*(1+$E$15)^($C$22:$G$22-1)*($E$6*D$48*$E$8+$E$9*$E$10*$E$11+$E$16*$E$17*$E$18)-$E$13)/(1+$E$14)^$C$22:$G$22)</f>
        <v>1547885.9569329</v>
      </c>
      <c r="E51" s="19" t="n">
        <f aca="false">-$E$12+SUMPRODUCT(($A51*(1+$E$15)^($C$22:$G$22-1)*($E$6*E$48*$E$8+$E$9*$E$10*$E$11+$E$16*$E$17*$E$18)-$E$13)/(1+$E$14)^$C$22:$G$22)</f>
        <v>1667422.985576</v>
      </c>
      <c r="F51" s="19" t="n">
        <f aca="false">-$E$12+SUMPRODUCT(($A51*(1+$E$15)^($C$22:$G$22-1)*($E$6*F$48*$E$8+$E$9*$E$10*$E$11+$E$16*$E$17*$E$18)-$E$13)/(1+$E$14)^$C$22:$G$22)</f>
        <v>1786960.0142191</v>
      </c>
    </row>
    <row r="52" customFormat="false" ht="15" hidden="false" customHeight="false" outlineLevel="0" collapsed="false">
      <c r="A52" s="25" t="n">
        <v>800000</v>
      </c>
      <c r="B52" s="19" t="n">
        <f aca="false">-$E$12+SUMPRODUCT(($A52*(1+$E$15)^($C$22:$G$22-1)*($E$6*B$48*$E$8+$E$9*$E$10*$E$11+$E$16*$E$17*$E$18)-$E$13)/(1+$E$14)^$C$22:$G$22)</f>
        <v>2100744.71440724</v>
      </c>
      <c r="C52" s="19" t="n">
        <f aca="false">-$E$12+SUMPRODUCT(($A52*(1+$E$15)^($C$22:$G$22-1)*($E$6*C$48*$E$8+$E$9*$E$10*$E$11+$E$16*$E$17*$E$18)-$E$13)/(1+$E$14)^$C$22:$G$22)</f>
        <v>2260127.4192647</v>
      </c>
      <c r="D52" s="19" t="n">
        <f aca="false">-$E$12+SUMPRODUCT(($A52*(1+$E$15)^($C$22:$G$22-1)*($E$6*D$48*$E$8+$E$9*$E$10*$E$11+$E$16*$E$17*$E$18)-$E$13)/(1+$E$14)^$C$22:$G$22)</f>
        <v>2419510.12412217</v>
      </c>
      <c r="E52" s="19" t="n">
        <f aca="false">-$E$12+SUMPRODUCT(($A52*(1+$E$15)^($C$22:$G$22-1)*($E$6*E$48*$E$8+$E$9*$E$10*$E$11+$E$16*$E$17*$E$18)-$E$13)/(1+$E$14)^$C$22:$G$22)</f>
        <v>2578892.82897964</v>
      </c>
      <c r="F52" s="19" t="n">
        <f aca="false">-$E$12+SUMPRODUCT(($A52*(1+$E$15)^($C$22:$G$22-1)*($E$6*F$48*$E$8+$E$9*$E$10*$E$11+$E$16*$E$17*$E$18)-$E$13)/(1+$E$14)^$C$22:$G$22)</f>
        <v>2738275.53383711</v>
      </c>
    </row>
    <row r="53" customFormat="false" ht="15" hidden="false" customHeight="false" outlineLevel="0" collapsed="false">
      <c r="A53" s="25" t="n">
        <v>1000000</v>
      </c>
      <c r="B53" s="19" t="n">
        <f aca="false">-$E$12+SUMPRODUCT(($A53*(1+$E$15)^($C$22:$G$22-1)*($E$6*B$48*$E$8+$E$9*$E$10*$E$11+$E$16*$E$17*$E$18)-$E$13)/(1+$E$14)^$C$22:$G$22)</f>
        <v>2892677.52916778</v>
      </c>
      <c r="C53" s="19" t="n">
        <f aca="false">-$E$12+SUMPRODUCT(($A53*(1+$E$15)^($C$22:$G$22-1)*($E$6*C$48*$E$8+$E$9*$E$10*$E$11+$E$16*$E$17*$E$18)-$E$13)/(1+$E$14)^$C$22:$G$22)</f>
        <v>3091905.91023961</v>
      </c>
      <c r="D53" s="19" t="n">
        <f aca="false">-$E$12+SUMPRODUCT(($A53*(1+$E$15)^($C$22:$G$22-1)*($E$6*D$48*$E$8+$E$9*$E$10*$E$11+$E$16*$E$17*$E$18)-$E$13)/(1+$E$14)^$C$22:$G$22)</f>
        <v>3291134.29131145</v>
      </c>
      <c r="E53" s="19" t="n">
        <f aca="false">-$E$12+SUMPRODUCT(($A53*(1+$E$15)^($C$22:$G$22-1)*($E$6*E$48*$E$8+$E$9*$E$10*$E$11+$E$16*$E$17*$E$18)-$E$13)/(1+$E$14)^$C$22:$G$22)</f>
        <v>3490362.67238328</v>
      </c>
      <c r="F53" s="19" t="n">
        <f aca="false">-$E$12+SUMPRODUCT(($A53*(1+$E$15)^($C$22:$G$22-1)*($E$6*F$48*$E$8+$E$9*$E$10*$E$11+$E$16*$E$17*$E$18)-$E$13)/(1+$E$14)^$C$22:$G$22)</f>
        <v>3689591.05345512</v>
      </c>
    </row>
    <row r="55" customFormat="false" ht="15" hidden="false" customHeight="false" outlineLevel="0" collapsed="false">
      <c r="A55" s="3" t="s">
        <v>152</v>
      </c>
    </row>
    <row r="56" customFormat="false" ht="15" hidden="false" customHeight="false" outlineLevel="0" collapsed="false">
      <c r="A56" s="23" t="s">
        <v>153</v>
      </c>
      <c r="B56" s="26" t="n">
        <v>10</v>
      </c>
      <c r="C56" s="26" t="n">
        <v>20</v>
      </c>
      <c r="D56" s="26" t="n">
        <v>30</v>
      </c>
      <c r="E56" s="26" t="n">
        <v>45</v>
      </c>
      <c r="F56" s="26" t="n">
        <v>60</v>
      </c>
    </row>
    <row r="57" customFormat="false" ht="15" hidden="false" customHeight="false" outlineLevel="0" collapsed="false">
      <c r="A57" s="24" t="n">
        <v>0</v>
      </c>
      <c r="B57" s="19" t="n">
        <f aca="false">-$E$12+SUMPRODUCT(($E$5*(1+$E$15)^($C$22:$G$22-1)*($E$6*$E$7*$E$8+$E$9*$E$10*$E$11+$E$16*$A57*B$56)-$E$13)/(1+$E$14)^$C$22:$G$22)</f>
        <v>-618722.687223302</v>
      </c>
      <c r="C57" s="19" t="n">
        <f aca="false">-$E$12+SUMPRODUCT(($E$5*(1+$E$15)^($C$22:$G$22-1)*($E$6*$E$7*$E$8+$E$9*$E$10*$E$11+$E$16*$A57*C$56)-$E$13)/(1+$E$14)^$C$22:$G$22)</f>
        <v>-618722.687223302</v>
      </c>
      <c r="D57" s="19" t="n">
        <f aca="false">-$E$12+SUMPRODUCT(($E$5*(1+$E$15)^($C$22:$G$22-1)*($E$6*$E$7*$E$8+$E$9*$E$10*$E$11+$E$16*$A57*D$56)-$E$13)/(1+$E$14)^$C$22:$G$22)</f>
        <v>-618722.687223302</v>
      </c>
      <c r="E57" s="19" t="n">
        <f aca="false">-$E$12+SUMPRODUCT(($E$5*(1+$E$15)^($C$22:$G$22-1)*($E$6*$E$7*$E$8+$E$9*$E$10*$E$11+$E$16*$A57*E$56)-$E$13)/(1+$E$14)^$C$22:$G$22)</f>
        <v>-618722.687223302</v>
      </c>
      <c r="F57" s="19" t="n">
        <f aca="false">-$E$12+SUMPRODUCT(($E$5*(1+$E$15)^($C$22:$G$22-1)*($E$6*$E$7*$E$8+$E$9*$E$10*$E$11+$E$16*$A57*F$56)-$E$13)/(1+$E$14)^$C$22:$G$22)</f>
        <v>-618722.687223302</v>
      </c>
    </row>
    <row r="58" customFormat="false" ht="15" hidden="false" customHeight="false" outlineLevel="0" collapsed="false">
      <c r="A58" s="24" t="n">
        <v>0.01</v>
      </c>
      <c r="B58" s="19" t="n">
        <f aca="false">-$E$12+SUMPRODUCT(($E$5*(1+$E$15)^($C$22:$G$22-1)*($E$6*$E$7*$E$8+$E$9*$E$10*$E$11+$E$16*$A58*B$56)-$E$13)/(1+$E$14)^$C$22:$G$22)</f>
        <v>-474282.110946222</v>
      </c>
      <c r="C58" s="19" t="n">
        <f aca="false">-$E$12+SUMPRODUCT(($E$5*(1+$E$15)^($C$22:$G$22-1)*($E$6*$E$7*$E$8+$E$9*$E$10*$E$11+$E$16*$A58*C$56)-$E$13)/(1+$E$14)^$C$22:$G$22)</f>
        <v>-329841.534669142</v>
      </c>
      <c r="D58" s="19" t="n">
        <f aca="false">-$E$12+SUMPRODUCT(($E$5*(1+$E$15)^($C$22:$G$22-1)*($E$6*$E$7*$E$8+$E$9*$E$10*$E$11+$E$16*$A58*D$56)-$E$13)/(1+$E$14)^$C$22:$G$22)</f>
        <v>-185400.958392062</v>
      </c>
      <c r="E58" s="19" t="n">
        <f aca="false">-$E$12+SUMPRODUCT(($E$5*(1+$E$15)^($C$22:$G$22-1)*($E$6*$E$7*$E$8+$E$9*$E$10*$E$11+$E$16*$A58*E$56)-$E$13)/(1+$E$14)^$C$22:$G$22)</f>
        <v>31259.9060235578</v>
      </c>
      <c r="F58" s="19" t="n">
        <f aca="false">-$E$12+SUMPRODUCT(($E$5*(1+$E$15)^($C$22:$G$22-1)*($E$6*$E$7*$E$8+$E$9*$E$10*$E$11+$E$16*$A58*F$56)-$E$13)/(1+$E$14)^$C$22:$G$22)</f>
        <v>247920.770439178</v>
      </c>
    </row>
    <row r="59" customFormat="false" ht="15" hidden="false" customHeight="false" outlineLevel="0" collapsed="false">
      <c r="A59" s="24" t="n">
        <v>0.02</v>
      </c>
      <c r="B59" s="19" t="n">
        <f aca="false">-$E$12+SUMPRODUCT(($E$5*(1+$E$15)^($C$22:$G$22-1)*($E$6*$E$7*$E$8+$E$9*$E$10*$E$11+$E$16*$A59*B$56)-$E$13)/(1+$E$14)^$C$22:$G$22)</f>
        <v>-329841.534669142</v>
      </c>
      <c r="C59" s="19" t="n">
        <f aca="false">-$E$12+SUMPRODUCT(($E$5*(1+$E$15)^($C$22:$G$22-1)*($E$6*$E$7*$E$8+$E$9*$E$10*$E$11+$E$16*$A59*C$56)-$E$13)/(1+$E$14)^$C$22:$G$22)</f>
        <v>-40960.3821149822</v>
      </c>
      <c r="D59" s="19" t="n">
        <f aca="false">-$E$12+SUMPRODUCT(($E$5*(1+$E$15)^($C$22:$G$22-1)*($E$6*$E$7*$E$8+$E$9*$E$10*$E$11+$E$16*$A59*D$56)-$E$13)/(1+$E$14)^$C$22:$G$22)</f>
        <v>247920.770439178</v>
      </c>
      <c r="E59" s="19" t="n">
        <f aca="false">-$E$12+SUMPRODUCT(($E$5*(1+$E$15)^($C$22:$G$22-1)*($E$6*$E$7*$E$8+$E$9*$E$10*$E$11+$E$16*$A59*E$56)-$E$13)/(1+$E$14)^$C$22:$G$22)</f>
        <v>681242.499270418</v>
      </c>
      <c r="F59" s="19" t="n">
        <f aca="false">-$E$12+SUMPRODUCT(($E$5*(1+$E$15)^($C$22:$G$22-1)*($E$6*$E$7*$E$8+$E$9*$E$10*$E$11+$E$16*$A59*F$56)-$E$13)/(1+$E$14)^$C$22:$G$22)</f>
        <v>1114564.22810166</v>
      </c>
    </row>
    <row r="60" customFormat="false" ht="15" hidden="false" customHeight="false" outlineLevel="0" collapsed="false">
      <c r="A60" s="24" t="n">
        <v>0.05</v>
      </c>
      <c r="B60" s="19" t="n">
        <f aca="false">-$E$12+SUMPRODUCT(($E$5*(1+$E$15)^($C$22:$G$22-1)*($E$6*$E$7*$E$8+$E$9*$E$10*$E$11+$E$16*$A60*B$56)-$E$13)/(1+$E$14)^$C$22:$G$22)</f>
        <v>103480.194162098</v>
      </c>
      <c r="C60" s="19" t="n">
        <f aca="false">-$E$12+SUMPRODUCT(($E$5*(1+$E$15)^($C$22:$G$22-1)*($E$6*$E$7*$E$8+$E$9*$E$10*$E$11+$E$16*$A60*C$56)-$E$13)/(1+$E$14)^$C$22:$G$22)</f>
        <v>825683.075547497</v>
      </c>
      <c r="D60" s="19" t="n">
        <f aca="false">-$E$12+SUMPRODUCT(($E$5*(1+$E$15)^($C$22:$G$22-1)*($E$6*$E$7*$E$8+$E$9*$E$10*$E$11+$E$16*$A60*D$56)-$E$13)/(1+$E$14)^$C$22:$G$22)</f>
        <v>1547885.9569329</v>
      </c>
      <c r="E60" s="19" t="n">
        <f aca="false">-$E$12+SUMPRODUCT(($E$5*(1+$E$15)^($C$22:$G$22-1)*($E$6*$E$7*$E$8+$E$9*$E$10*$E$11+$E$16*$A60*E$56)-$E$13)/(1+$E$14)^$C$22:$G$22)</f>
        <v>2631190.279011</v>
      </c>
      <c r="F60" s="19" t="n">
        <f aca="false">-$E$12+SUMPRODUCT(($E$5*(1+$E$15)^($C$22:$G$22-1)*($E$6*$E$7*$E$8+$E$9*$E$10*$E$11+$E$16*$A60*F$56)-$E$13)/(1+$E$14)^$C$22:$G$22)</f>
        <v>3714494.60108909</v>
      </c>
    </row>
    <row r="61" customFormat="false" ht="15" hidden="false" customHeight="false" outlineLevel="0" collapsed="false">
      <c r="A61" s="24" t="n">
        <v>0.1</v>
      </c>
      <c r="B61" s="19" t="n">
        <f aca="false">-$E$12+SUMPRODUCT(($E$5*(1+$E$15)^($C$22:$G$22-1)*($E$6*$E$7*$E$8+$E$9*$E$10*$E$11+$E$16*$A61*B$56)-$E$13)/(1+$E$14)^$C$22:$G$22)</f>
        <v>825683.075547497</v>
      </c>
      <c r="C61" s="19" t="n">
        <f aca="false">-$E$12+SUMPRODUCT(($E$5*(1+$E$15)^($C$22:$G$22-1)*($E$6*$E$7*$E$8+$E$9*$E$10*$E$11+$E$16*$A61*C$56)-$E$13)/(1+$E$14)^$C$22:$G$22)</f>
        <v>2270088.8383183</v>
      </c>
      <c r="D61" s="19" t="n">
        <f aca="false">-$E$12+SUMPRODUCT(($E$5*(1+$E$15)^($C$22:$G$22-1)*($E$6*$E$7*$E$8+$E$9*$E$10*$E$11+$E$16*$A61*D$56)-$E$13)/(1+$E$14)^$C$22:$G$22)</f>
        <v>3714494.60108909</v>
      </c>
      <c r="E61" s="19" t="n">
        <f aca="false">-$E$12+SUMPRODUCT(($E$5*(1+$E$15)^($C$22:$G$22-1)*($E$6*$E$7*$E$8+$E$9*$E$10*$E$11+$E$16*$A61*E$56)-$E$13)/(1+$E$14)^$C$22:$G$22)</f>
        <v>5881103.24524529</v>
      </c>
      <c r="F61" s="19" t="n">
        <f aca="false">-$E$12+SUMPRODUCT(($E$5*(1+$E$15)^($C$22:$G$22-1)*($E$6*$E$7*$E$8+$E$9*$E$10*$E$11+$E$16*$A61*F$56)-$E$13)/(1+$E$14)^$C$22:$G$22)</f>
        <v>8047711.88940149</v>
      </c>
    </row>
    <row r="63" customFormat="false" ht="15" hidden="false" customHeight="false" outlineLevel="0" collapsed="false">
      <c r="A63" s="21" t="s">
        <v>154</v>
      </c>
    </row>
  </sheetData>
  <conditionalFormatting sqref="B49:F5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57:F61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7" min="15" style="0" width="9"/>
    <col collapsed="false" customWidth="true" hidden="false" outlineLevel="0" max="20" min="18" style="0" width="10"/>
  </cols>
  <sheetData>
    <row r="1" customFormat="false" ht="46.25" hidden="false" customHeight="false" outlineLevel="0" collapsed="false">
      <c r="A1" s="8" t="s">
        <v>155</v>
      </c>
      <c r="B1" s="8" t="s">
        <v>54</v>
      </c>
      <c r="C1" s="8" t="s">
        <v>156</v>
      </c>
      <c r="D1" s="8" t="s">
        <v>157</v>
      </c>
      <c r="E1" s="8" t="s">
        <v>158</v>
      </c>
      <c r="F1" s="8" t="s">
        <v>159</v>
      </c>
      <c r="G1" s="8" t="s">
        <v>36</v>
      </c>
      <c r="H1" s="8" t="s">
        <v>160</v>
      </c>
      <c r="I1" s="8" t="s">
        <v>161</v>
      </c>
      <c r="J1" s="8" t="s">
        <v>56</v>
      </c>
      <c r="K1" s="8" t="s">
        <v>162</v>
      </c>
      <c r="L1" s="8" t="s">
        <v>163</v>
      </c>
      <c r="M1" s="8" t="s">
        <v>164</v>
      </c>
      <c r="N1" s="8" t="s">
        <v>165</v>
      </c>
      <c r="O1" s="8" t="s">
        <v>166</v>
      </c>
      <c r="P1" s="8" t="s">
        <v>167</v>
      </c>
      <c r="Q1" s="8" t="s">
        <v>168</v>
      </c>
      <c r="R1" s="8" t="s">
        <v>169</v>
      </c>
      <c r="S1" s="8" t="s">
        <v>170</v>
      </c>
      <c r="T1" s="8" t="s">
        <v>171</v>
      </c>
    </row>
    <row r="2" customFormat="false" ht="15" hidden="false" customHeight="false" outlineLevel="0" collapsed="false">
      <c r="A2" s="2" t="s">
        <v>172</v>
      </c>
      <c r="B2" s="2" t="s">
        <v>63</v>
      </c>
      <c r="C2" s="2" t="s">
        <v>173</v>
      </c>
      <c r="D2" s="2" t="s">
        <v>174</v>
      </c>
      <c r="E2" s="27" t="n">
        <v>259137.5</v>
      </c>
      <c r="F2" s="2" t="s">
        <v>175</v>
      </c>
      <c r="G2" s="2" t="s">
        <v>41</v>
      </c>
      <c r="H2" s="2" t="n">
        <v>60</v>
      </c>
      <c r="I2" s="2" t="n">
        <v>1</v>
      </c>
      <c r="J2" s="2" t="n">
        <v>1</v>
      </c>
      <c r="K2" s="2" t="n">
        <v>3</v>
      </c>
      <c r="L2" s="2" t="n">
        <v>0</v>
      </c>
      <c r="M2" s="2" t="n">
        <v>3</v>
      </c>
      <c r="N2" s="2" t="n">
        <v>32</v>
      </c>
      <c r="O2" s="2" t="n">
        <v>13</v>
      </c>
      <c r="P2" s="2" t="n">
        <v>3</v>
      </c>
      <c r="Q2" s="2" t="n">
        <v>7</v>
      </c>
      <c r="R2" s="2" t="n">
        <v>7</v>
      </c>
      <c r="S2" s="2" t="n">
        <v>2</v>
      </c>
      <c r="T2" s="2" t="str">
        <f aca="false">IF(F2="","No","Yes")</f>
        <v>Yes</v>
      </c>
    </row>
    <row r="3" customFormat="false" ht="15" hidden="false" customHeight="false" outlineLevel="0" collapsed="false">
      <c r="A3" s="2" t="s">
        <v>176</v>
      </c>
      <c r="B3" s="2" t="s">
        <v>61</v>
      </c>
      <c r="C3" s="2" t="s">
        <v>177</v>
      </c>
      <c r="D3" s="2" t="s">
        <v>178</v>
      </c>
      <c r="E3" s="27" t="n">
        <v>319.92</v>
      </c>
      <c r="F3" s="2"/>
      <c r="G3" s="2" t="s">
        <v>39</v>
      </c>
      <c r="H3" s="2" t="n">
        <v>96</v>
      </c>
      <c r="I3" s="2" t="n">
        <v>0</v>
      </c>
      <c r="J3" s="2" t="n">
        <v>0</v>
      </c>
      <c r="K3" s="2" t="n">
        <v>2</v>
      </c>
      <c r="L3" s="2" t="n">
        <v>0</v>
      </c>
      <c r="M3" s="2" t="n">
        <v>2</v>
      </c>
      <c r="N3" s="2" t="n">
        <v>28</v>
      </c>
      <c r="O3" s="2" t="n">
        <v>12</v>
      </c>
      <c r="P3" s="2" t="n">
        <v>1</v>
      </c>
      <c r="Q3" s="2" t="n">
        <v>6</v>
      </c>
      <c r="R3" s="2" t="n">
        <v>6</v>
      </c>
      <c r="S3" s="2" t="n">
        <v>3</v>
      </c>
      <c r="T3" s="2" t="str">
        <f aca="false">IF(F3="","No","Yes")</f>
        <v>No</v>
      </c>
    </row>
    <row r="4" customFormat="false" ht="15" hidden="false" customHeight="false" outlineLevel="0" collapsed="false">
      <c r="A4" s="2" t="s">
        <v>179</v>
      </c>
      <c r="B4" s="2" t="s">
        <v>63</v>
      </c>
      <c r="C4" s="2" t="s">
        <v>177</v>
      </c>
      <c r="D4" s="2" t="s">
        <v>180</v>
      </c>
      <c r="E4" s="27" t="n">
        <v>37086.39</v>
      </c>
      <c r="F4" s="2"/>
      <c r="G4" s="2" t="s">
        <v>39</v>
      </c>
      <c r="H4" s="2" t="n">
        <v>96</v>
      </c>
      <c r="I4" s="2" t="n">
        <v>0</v>
      </c>
      <c r="J4" s="2" t="n">
        <v>0</v>
      </c>
      <c r="K4" s="2" t="n">
        <v>2</v>
      </c>
      <c r="L4" s="2" t="n">
        <v>0</v>
      </c>
      <c r="M4" s="2" t="n">
        <v>3</v>
      </c>
      <c r="N4" s="2" t="n">
        <v>31</v>
      </c>
      <c r="O4" s="2" t="n">
        <v>12</v>
      </c>
      <c r="P4" s="2" t="n">
        <v>3</v>
      </c>
      <c r="Q4" s="2" t="n">
        <v>9</v>
      </c>
      <c r="R4" s="2" t="n">
        <v>6</v>
      </c>
      <c r="S4" s="2" t="n">
        <v>1</v>
      </c>
      <c r="T4" s="2" t="str">
        <f aca="false">IF(F4="","No","Yes")</f>
        <v>No</v>
      </c>
    </row>
    <row r="5" customFormat="false" ht="15" hidden="false" customHeight="false" outlineLevel="0" collapsed="false">
      <c r="A5" s="2" t="s">
        <v>181</v>
      </c>
      <c r="B5" s="2" t="s">
        <v>61</v>
      </c>
      <c r="C5" s="2" t="s">
        <v>182</v>
      </c>
      <c r="D5" s="2" t="s">
        <v>180</v>
      </c>
      <c r="E5" s="27" t="n">
        <v>3547.89</v>
      </c>
      <c r="F5" s="2"/>
      <c r="G5" s="2" t="s">
        <v>39</v>
      </c>
      <c r="H5" s="2" t="n">
        <v>98</v>
      </c>
      <c r="I5" s="2" t="n">
        <v>0</v>
      </c>
      <c r="J5" s="2" t="n">
        <v>0</v>
      </c>
      <c r="K5" s="2" t="n">
        <v>1</v>
      </c>
      <c r="L5" s="2" t="n">
        <v>0</v>
      </c>
      <c r="M5" s="2" t="n">
        <v>2</v>
      </c>
      <c r="N5" s="2" t="n">
        <v>32</v>
      </c>
      <c r="O5" s="2" t="n">
        <v>16</v>
      </c>
      <c r="P5" s="2" t="n">
        <v>1</v>
      </c>
      <c r="Q5" s="2" t="n">
        <v>8</v>
      </c>
      <c r="R5" s="2" t="n">
        <v>5</v>
      </c>
      <c r="S5" s="2" t="n">
        <v>2</v>
      </c>
      <c r="T5" s="2" t="str">
        <f aca="false">IF(F5="","No","Yes")</f>
        <v>No</v>
      </c>
    </row>
    <row r="6" customFormat="false" ht="15" hidden="false" customHeight="false" outlineLevel="0" collapsed="false">
      <c r="A6" s="2" t="s">
        <v>183</v>
      </c>
      <c r="B6" s="2" t="s">
        <v>63</v>
      </c>
      <c r="C6" s="2" t="s">
        <v>184</v>
      </c>
      <c r="D6" s="2" t="s">
        <v>180</v>
      </c>
      <c r="E6" s="27" t="n">
        <v>208323.48</v>
      </c>
      <c r="F6" s="2"/>
      <c r="G6" s="2" t="s">
        <v>39</v>
      </c>
      <c r="H6" s="2" t="n">
        <v>100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</v>
      </c>
      <c r="N6" s="2" t="n">
        <v>29</v>
      </c>
      <c r="O6" s="2" t="n">
        <v>14</v>
      </c>
      <c r="P6" s="2" t="n">
        <v>4</v>
      </c>
      <c r="Q6" s="2" t="n">
        <v>4</v>
      </c>
      <c r="R6" s="2" t="n">
        <v>4</v>
      </c>
      <c r="S6" s="2" t="n">
        <v>3</v>
      </c>
      <c r="T6" s="2" t="str">
        <f aca="false">IF(F6="","No","Yes")</f>
        <v>No</v>
      </c>
    </row>
    <row r="7" customFormat="false" ht="15" hidden="false" customHeight="false" outlineLevel="0" collapsed="false">
      <c r="A7" s="2" t="s">
        <v>185</v>
      </c>
      <c r="B7" s="2" t="s">
        <v>63</v>
      </c>
      <c r="C7" s="2" t="s">
        <v>173</v>
      </c>
      <c r="D7" s="2" t="s">
        <v>180</v>
      </c>
      <c r="E7" s="27" t="n">
        <v>128949.18</v>
      </c>
      <c r="F7" s="2" t="s">
        <v>186</v>
      </c>
      <c r="G7" s="2" t="s">
        <v>41</v>
      </c>
      <c r="H7" s="2" t="n">
        <v>66</v>
      </c>
      <c r="I7" s="2" t="n">
        <v>1</v>
      </c>
      <c r="J7" s="2" t="n">
        <v>0</v>
      </c>
      <c r="K7" s="2" t="n">
        <v>2</v>
      </c>
      <c r="L7" s="2" t="n">
        <v>0</v>
      </c>
      <c r="M7" s="2" t="n">
        <v>2</v>
      </c>
      <c r="N7" s="2" t="n">
        <v>32</v>
      </c>
      <c r="O7" s="2" t="n">
        <v>14</v>
      </c>
      <c r="P7" s="2" t="n">
        <v>1</v>
      </c>
      <c r="Q7" s="2" t="n">
        <v>7</v>
      </c>
      <c r="R7" s="2" t="n">
        <v>6</v>
      </c>
      <c r="S7" s="2" t="n">
        <v>4</v>
      </c>
      <c r="T7" s="2" t="str">
        <f aca="false">IF(F7="","No","Yes")</f>
        <v>Yes</v>
      </c>
    </row>
    <row r="8" customFormat="false" ht="15" hidden="false" customHeight="false" outlineLevel="0" collapsed="false">
      <c r="A8" s="2" t="s">
        <v>187</v>
      </c>
      <c r="B8" s="2" t="s">
        <v>63</v>
      </c>
      <c r="C8" s="2" t="s">
        <v>188</v>
      </c>
      <c r="D8" s="2" t="s">
        <v>189</v>
      </c>
      <c r="E8" s="27" t="n">
        <v>35564.72</v>
      </c>
      <c r="F8" s="2"/>
      <c r="G8" s="2" t="s">
        <v>40</v>
      </c>
      <c r="H8" s="2" t="n">
        <v>90</v>
      </c>
      <c r="I8" s="2" t="n">
        <v>0</v>
      </c>
      <c r="J8" s="2" t="n">
        <v>1</v>
      </c>
      <c r="K8" s="2" t="n">
        <v>3</v>
      </c>
      <c r="L8" s="2" t="n">
        <v>0</v>
      </c>
      <c r="M8" s="2" t="n">
        <v>3</v>
      </c>
      <c r="N8" s="2" t="n">
        <v>32</v>
      </c>
      <c r="O8" s="2" t="n">
        <v>12</v>
      </c>
      <c r="P8" s="2" t="n">
        <v>4</v>
      </c>
      <c r="Q8" s="2" t="n">
        <v>7</v>
      </c>
      <c r="R8" s="2" t="n">
        <v>7</v>
      </c>
      <c r="S8" s="2" t="n">
        <v>2</v>
      </c>
      <c r="T8" s="2" t="str">
        <f aca="false">IF(F8="","No","Yes")</f>
        <v>No</v>
      </c>
    </row>
    <row r="9" customFormat="false" ht="15" hidden="false" customHeight="false" outlineLevel="0" collapsed="false">
      <c r="A9" s="2" t="s">
        <v>190</v>
      </c>
      <c r="B9" s="2" t="s">
        <v>65</v>
      </c>
      <c r="C9" s="2" t="s">
        <v>191</v>
      </c>
      <c r="D9" s="2" t="s">
        <v>189</v>
      </c>
      <c r="E9" s="27" t="n">
        <v>233841.58</v>
      </c>
      <c r="F9" s="2"/>
      <c r="G9" s="2" t="s">
        <v>40</v>
      </c>
      <c r="H9" s="2" t="n">
        <v>90</v>
      </c>
      <c r="I9" s="2" t="n">
        <v>0</v>
      </c>
      <c r="J9" s="2" t="n">
        <v>1</v>
      </c>
      <c r="K9" s="2" t="n">
        <v>3</v>
      </c>
      <c r="L9" s="2" t="n">
        <v>0</v>
      </c>
      <c r="M9" s="2" t="n">
        <v>3</v>
      </c>
      <c r="N9" s="2" t="n">
        <v>32</v>
      </c>
      <c r="O9" s="2" t="n">
        <v>13</v>
      </c>
      <c r="P9" s="2" t="n">
        <v>3</v>
      </c>
      <c r="Q9" s="2" t="n">
        <v>7</v>
      </c>
      <c r="R9" s="2" t="n">
        <v>7</v>
      </c>
      <c r="S9" s="2" t="n">
        <v>2</v>
      </c>
      <c r="T9" s="2" t="str">
        <f aca="false">IF(F9="","No","Yes")</f>
        <v>No</v>
      </c>
    </row>
    <row r="10" customFormat="false" ht="15" hidden="false" customHeight="false" outlineLevel="0" collapsed="false">
      <c r="A10" s="2" t="s">
        <v>192</v>
      </c>
      <c r="B10" s="2" t="s">
        <v>65</v>
      </c>
      <c r="C10" s="2" t="s">
        <v>193</v>
      </c>
      <c r="D10" s="2" t="s">
        <v>194</v>
      </c>
      <c r="E10" s="27" t="n">
        <v>118676.32</v>
      </c>
      <c r="F10" s="2" t="s">
        <v>195</v>
      </c>
      <c r="G10" s="2" t="s">
        <v>40</v>
      </c>
      <c r="H10" s="2" t="n">
        <v>92</v>
      </c>
      <c r="I10" s="2" t="n">
        <v>0</v>
      </c>
      <c r="J10" s="2" t="n">
        <v>1</v>
      </c>
      <c r="K10" s="2" t="n">
        <v>1</v>
      </c>
      <c r="L10" s="2" t="n">
        <v>0</v>
      </c>
      <c r="M10" s="2" t="n">
        <v>3</v>
      </c>
      <c r="N10" s="2" t="n">
        <v>34</v>
      </c>
      <c r="O10" s="2" t="n">
        <v>15</v>
      </c>
      <c r="P10" s="2" t="n">
        <v>3</v>
      </c>
      <c r="Q10" s="2" t="n">
        <v>6</v>
      </c>
      <c r="R10" s="2" t="n">
        <v>5</v>
      </c>
      <c r="S10" s="2" t="n">
        <v>5</v>
      </c>
      <c r="T10" s="2" t="str">
        <f aca="false">IF(F10="","No","Yes")</f>
        <v>Yes</v>
      </c>
    </row>
    <row r="11" customFormat="false" ht="15" hidden="false" customHeight="false" outlineLevel="0" collapsed="false">
      <c r="A11" s="2" t="s">
        <v>196</v>
      </c>
      <c r="B11" s="2" t="s">
        <v>61</v>
      </c>
      <c r="C11" s="2" t="s">
        <v>182</v>
      </c>
      <c r="D11" s="2" t="s">
        <v>180</v>
      </c>
      <c r="E11" s="27" t="n">
        <v>420.72</v>
      </c>
      <c r="F11" s="2" t="s">
        <v>197</v>
      </c>
      <c r="G11" s="2" t="s">
        <v>41</v>
      </c>
      <c r="H11" s="2" t="n">
        <v>68</v>
      </c>
      <c r="I11" s="2" t="n">
        <v>1</v>
      </c>
      <c r="J11" s="2" t="n">
        <v>0</v>
      </c>
      <c r="K11" s="2" t="n">
        <v>1</v>
      </c>
      <c r="L11" s="2" t="n">
        <v>0</v>
      </c>
      <c r="M11" s="2" t="n">
        <v>2</v>
      </c>
      <c r="N11" s="2" t="n">
        <v>29</v>
      </c>
      <c r="O11" s="2" t="n">
        <v>13</v>
      </c>
      <c r="P11" s="2" t="n">
        <v>2</v>
      </c>
      <c r="Q11" s="2" t="n">
        <v>6</v>
      </c>
      <c r="R11" s="2" t="n">
        <v>5</v>
      </c>
      <c r="S11" s="2" t="n">
        <v>3</v>
      </c>
      <c r="T11" s="2" t="str">
        <f aca="false">IF(F11="","No","Yes")</f>
        <v>Yes</v>
      </c>
    </row>
    <row r="12" customFormat="false" ht="15" hidden="false" customHeight="false" outlineLevel="0" collapsed="false">
      <c r="A12" s="2" t="s">
        <v>198</v>
      </c>
      <c r="B12" s="2" t="s">
        <v>67</v>
      </c>
      <c r="C12" s="2" t="s">
        <v>199</v>
      </c>
      <c r="D12" s="2" t="s">
        <v>178</v>
      </c>
      <c r="E12" s="27" t="n">
        <v>23348.7</v>
      </c>
      <c r="F12" s="2"/>
      <c r="G12" s="2" t="s">
        <v>39</v>
      </c>
      <c r="H12" s="2" t="n">
        <v>96</v>
      </c>
      <c r="I12" s="2" t="n">
        <v>0</v>
      </c>
      <c r="J12" s="2" t="n">
        <v>0</v>
      </c>
      <c r="K12" s="2" t="n">
        <v>2</v>
      </c>
      <c r="L12" s="2" t="n">
        <v>0</v>
      </c>
      <c r="M12" s="2" t="n">
        <v>3</v>
      </c>
      <c r="N12" s="2" t="n">
        <v>30</v>
      </c>
      <c r="O12" s="2" t="n">
        <v>12</v>
      </c>
      <c r="P12" s="2" t="n">
        <v>3</v>
      </c>
      <c r="Q12" s="2" t="n">
        <v>6</v>
      </c>
      <c r="R12" s="2" t="n">
        <v>6</v>
      </c>
      <c r="S12" s="2" t="n">
        <v>3</v>
      </c>
      <c r="T12" s="2" t="str">
        <f aca="false">IF(F12="","No","Yes")</f>
        <v>No</v>
      </c>
    </row>
    <row r="13" customFormat="false" ht="15" hidden="false" customHeight="false" outlineLevel="0" collapsed="false">
      <c r="A13" s="2" t="s">
        <v>200</v>
      </c>
      <c r="B13" s="2" t="s">
        <v>61</v>
      </c>
      <c r="C13" s="2" t="s">
        <v>177</v>
      </c>
      <c r="D13" s="2" t="s">
        <v>178</v>
      </c>
      <c r="E13" s="27" t="n">
        <v>5935.77</v>
      </c>
      <c r="F13" s="2"/>
      <c r="G13" s="2" t="s">
        <v>39</v>
      </c>
      <c r="H13" s="2" t="n">
        <v>98</v>
      </c>
      <c r="I13" s="2" t="n">
        <v>0</v>
      </c>
      <c r="J13" s="2" t="n">
        <v>0</v>
      </c>
      <c r="K13" s="2" t="n">
        <v>1</v>
      </c>
      <c r="L13" s="2" t="n">
        <v>0</v>
      </c>
      <c r="M13" s="2" t="n">
        <v>2</v>
      </c>
      <c r="N13" s="2" t="n">
        <v>31</v>
      </c>
      <c r="O13" s="2" t="n">
        <v>13</v>
      </c>
      <c r="P13" s="2" t="n">
        <v>2</v>
      </c>
      <c r="Q13" s="2" t="n">
        <v>10</v>
      </c>
      <c r="R13" s="2" t="n">
        <v>5</v>
      </c>
      <c r="S13" s="2" t="n">
        <v>1</v>
      </c>
      <c r="T13" s="2" t="str">
        <f aca="false">IF(F13="","No","Yes")</f>
        <v>No</v>
      </c>
    </row>
    <row r="14" customFormat="false" ht="15" hidden="false" customHeight="false" outlineLevel="0" collapsed="false">
      <c r="A14" s="2" t="s">
        <v>201</v>
      </c>
      <c r="B14" s="2" t="s">
        <v>63</v>
      </c>
      <c r="C14" s="2" t="s">
        <v>184</v>
      </c>
      <c r="D14" s="2" t="s">
        <v>180</v>
      </c>
      <c r="E14" s="27" t="n">
        <v>103213.65</v>
      </c>
      <c r="F14" s="2" t="s">
        <v>202</v>
      </c>
      <c r="G14" s="2" t="s">
        <v>42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str">
        <f aca="false">IF(F14="","No","Yes")</f>
        <v>Yes</v>
      </c>
    </row>
    <row r="15" customFormat="false" ht="15" hidden="false" customHeight="false" outlineLevel="0" collapsed="false">
      <c r="A15" s="2" t="s">
        <v>203</v>
      </c>
      <c r="B15" s="2" t="s">
        <v>63</v>
      </c>
      <c r="C15" s="2" t="s">
        <v>173</v>
      </c>
      <c r="D15" s="2" t="s">
        <v>180</v>
      </c>
      <c r="E15" s="27" t="n">
        <v>63092.47</v>
      </c>
      <c r="F15" s="2" t="s">
        <v>204</v>
      </c>
      <c r="G15" s="2" t="s">
        <v>40</v>
      </c>
      <c r="H15" s="2" t="n">
        <v>90</v>
      </c>
      <c r="I15" s="2" t="n">
        <v>0</v>
      </c>
      <c r="J15" s="2" t="n">
        <v>1</v>
      </c>
      <c r="K15" s="2" t="n">
        <v>2</v>
      </c>
      <c r="L15" s="2" t="n">
        <v>0</v>
      </c>
      <c r="M15" s="2" t="n">
        <v>3</v>
      </c>
      <c r="N15" s="2" t="n">
        <v>29</v>
      </c>
      <c r="O15" s="2" t="n">
        <v>12</v>
      </c>
      <c r="P15" s="2" t="n">
        <v>3</v>
      </c>
      <c r="Q15" s="2" t="n">
        <v>4</v>
      </c>
      <c r="R15" s="2" t="n">
        <v>6</v>
      </c>
      <c r="S15" s="2" t="n">
        <v>4</v>
      </c>
      <c r="T15" s="2" t="str">
        <f aca="false">IF(F15="","No","Yes")</f>
        <v>Yes</v>
      </c>
    </row>
    <row r="16" customFormat="false" ht="15" hidden="false" customHeight="false" outlineLevel="0" collapsed="false">
      <c r="A16" s="2" t="s">
        <v>205</v>
      </c>
      <c r="B16" s="2" t="s">
        <v>65</v>
      </c>
      <c r="C16" s="2" t="s">
        <v>206</v>
      </c>
      <c r="D16" s="2" t="s">
        <v>180</v>
      </c>
      <c r="E16" s="27" t="n">
        <v>102388.73</v>
      </c>
      <c r="F16" s="2" t="s">
        <v>207</v>
      </c>
      <c r="G16" s="2" t="s">
        <v>41</v>
      </c>
      <c r="H16" s="2" t="n">
        <v>64</v>
      </c>
      <c r="I16" s="2" t="n">
        <v>1</v>
      </c>
      <c r="J16" s="2" t="n">
        <v>1</v>
      </c>
      <c r="K16" s="2" t="n">
        <v>1</v>
      </c>
      <c r="L16" s="2" t="n">
        <v>0</v>
      </c>
      <c r="M16" s="2" t="n">
        <v>2</v>
      </c>
      <c r="N16" s="2" t="n">
        <v>27</v>
      </c>
      <c r="O16" s="2" t="n">
        <v>15</v>
      </c>
      <c r="P16" s="2" t="n">
        <v>1</v>
      </c>
      <c r="Q16" s="2" t="n">
        <v>4</v>
      </c>
      <c r="R16" s="2" t="n">
        <v>5</v>
      </c>
      <c r="S16" s="2" t="n">
        <v>2</v>
      </c>
      <c r="T16" s="2" t="str">
        <f aca="false">IF(F16="","No","Yes")</f>
        <v>Yes</v>
      </c>
    </row>
    <row r="17" customFormat="false" ht="15" hidden="false" customHeight="false" outlineLevel="0" collapsed="false">
      <c r="A17" s="2" t="s">
        <v>208</v>
      </c>
      <c r="B17" s="2" t="s">
        <v>61</v>
      </c>
      <c r="C17" s="2" t="s">
        <v>182</v>
      </c>
      <c r="D17" s="2" t="s">
        <v>180</v>
      </c>
      <c r="E17" s="27" t="n">
        <v>3072.61</v>
      </c>
      <c r="F17" s="2"/>
      <c r="G17" s="2" t="s">
        <v>39</v>
      </c>
      <c r="H17" s="2" t="n">
        <v>96</v>
      </c>
      <c r="I17" s="2" t="n">
        <v>0</v>
      </c>
      <c r="J17" s="2" t="n">
        <v>0</v>
      </c>
      <c r="K17" s="2" t="n">
        <v>2</v>
      </c>
      <c r="L17" s="2" t="n">
        <v>0</v>
      </c>
      <c r="M17" s="2" t="n">
        <v>3</v>
      </c>
      <c r="N17" s="2" t="n">
        <v>34</v>
      </c>
      <c r="O17" s="2" t="n">
        <v>14</v>
      </c>
      <c r="P17" s="2" t="n">
        <v>2</v>
      </c>
      <c r="Q17" s="2" t="n">
        <v>8</v>
      </c>
      <c r="R17" s="2" t="n">
        <v>6</v>
      </c>
      <c r="S17" s="2" t="n">
        <v>4</v>
      </c>
      <c r="T17" s="2" t="str">
        <f aca="false">IF(F17="","No","Yes")</f>
        <v>No</v>
      </c>
    </row>
    <row r="18" customFormat="false" ht="15" hidden="false" customHeight="false" outlineLevel="0" collapsed="false">
      <c r="A18" s="2" t="s">
        <v>209</v>
      </c>
      <c r="B18" s="2" t="s">
        <v>61</v>
      </c>
      <c r="C18" s="2" t="s">
        <v>184</v>
      </c>
      <c r="D18" s="2" t="s">
        <v>180</v>
      </c>
      <c r="E18" s="27" t="n">
        <v>3811.57</v>
      </c>
      <c r="F18" s="2"/>
      <c r="G18" s="2" t="s">
        <v>39</v>
      </c>
      <c r="H18" s="2" t="n">
        <v>100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3</v>
      </c>
      <c r="N18" s="2" t="n">
        <v>27</v>
      </c>
      <c r="O18" s="2" t="n">
        <v>14</v>
      </c>
      <c r="P18" s="2" t="n">
        <v>2</v>
      </c>
      <c r="Q18" s="2" t="n">
        <v>4</v>
      </c>
      <c r="R18" s="2" t="n">
        <v>4</v>
      </c>
      <c r="S18" s="2" t="n">
        <v>3</v>
      </c>
      <c r="T18" s="2" t="str">
        <f aca="false">IF(F18="","No","Yes")</f>
        <v>No</v>
      </c>
    </row>
    <row r="19" customFormat="false" ht="15" hidden="false" customHeight="false" outlineLevel="0" collapsed="false">
      <c r="A19" s="2" t="s">
        <v>210</v>
      </c>
      <c r="B19" s="2" t="s">
        <v>67</v>
      </c>
      <c r="C19" s="2" t="s">
        <v>211</v>
      </c>
      <c r="D19" s="2" t="s">
        <v>180</v>
      </c>
      <c r="E19" s="27" t="n">
        <v>38523.37</v>
      </c>
      <c r="F19" s="2"/>
      <c r="G19" s="2" t="s">
        <v>39</v>
      </c>
      <c r="H19" s="2" t="n">
        <v>100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3</v>
      </c>
      <c r="N19" s="2" t="n">
        <v>31</v>
      </c>
      <c r="O19" s="2" t="n">
        <v>14</v>
      </c>
      <c r="P19" s="2" t="n">
        <v>3</v>
      </c>
      <c r="Q19" s="2" t="n">
        <v>8</v>
      </c>
      <c r="R19" s="2" t="n">
        <v>4</v>
      </c>
      <c r="S19" s="2" t="n">
        <v>2</v>
      </c>
      <c r="T19" s="2" t="str">
        <f aca="false">IF(F19="","No","Yes")</f>
        <v>No</v>
      </c>
    </row>
    <row r="20" customFormat="false" ht="15" hidden="false" customHeight="false" outlineLevel="0" collapsed="false">
      <c r="A20" s="2" t="s">
        <v>212</v>
      </c>
      <c r="B20" s="2" t="s">
        <v>67</v>
      </c>
      <c r="C20" s="2" t="s">
        <v>182</v>
      </c>
      <c r="D20" s="2" t="s">
        <v>180</v>
      </c>
      <c r="E20" s="27" t="n">
        <v>9227.23</v>
      </c>
      <c r="F20" s="2" t="s">
        <v>213</v>
      </c>
      <c r="G20" s="2" t="s">
        <v>40</v>
      </c>
      <c r="H20" s="2" t="n">
        <v>92</v>
      </c>
      <c r="I20" s="2" t="n">
        <v>0</v>
      </c>
      <c r="J20" s="2" t="n">
        <v>1</v>
      </c>
      <c r="K20" s="2" t="n">
        <v>1</v>
      </c>
      <c r="L20" s="2" t="n">
        <v>0</v>
      </c>
      <c r="M20" s="2" t="n">
        <v>3</v>
      </c>
      <c r="N20" s="2" t="n">
        <v>33</v>
      </c>
      <c r="O20" s="2" t="n">
        <v>14</v>
      </c>
      <c r="P20" s="2" t="n">
        <v>4</v>
      </c>
      <c r="Q20" s="2" t="n">
        <v>10</v>
      </c>
      <c r="R20" s="2" t="n">
        <v>4</v>
      </c>
      <c r="S20" s="2" t="n">
        <v>1</v>
      </c>
      <c r="T20" s="2" t="str">
        <f aca="false">IF(F20="","No","Yes")</f>
        <v>Yes</v>
      </c>
    </row>
    <row r="21" customFormat="false" ht="15" hidden="false" customHeight="false" outlineLevel="0" collapsed="false">
      <c r="A21" s="2" t="s">
        <v>214</v>
      </c>
      <c r="B21" s="2" t="s">
        <v>61</v>
      </c>
      <c r="C21" s="2" t="s">
        <v>184</v>
      </c>
      <c r="D21" s="2" t="s">
        <v>215</v>
      </c>
      <c r="E21" s="27" t="n">
        <v>1284.09</v>
      </c>
      <c r="F21" s="2"/>
      <c r="G21" s="2" t="s">
        <v>39</v>
      </c>
      <c r="H21" s="2" t="n">
        <v>96</v>
      </c>
      <c r="I21" s="2" t="n">
        <v>0</v>
      </c>
      <c r="J21" s="2" t="n">
        <v>0</v>
      </c>
      <c r="K21" s="2" t="n">
        <v>2</v>
      </c>
      <c r="L21" s="2" t="n">
        <v>0</v>
      </c>
      <c r="M21" s="2" t="n">
        <v>2</v>
      </c>
      <c r="N21" s="2" t="n">
        <v>29</v>
      </c>
      <c r="O21" s="2" t="n">
        <v>12</v>
      </c>
      <c r="P21" s="2" t="n">
        <v>2</v>
      </c>
      <c r="Q21" s="2" t="n">
        <v>7</v>
      </c>
      <c r="R21" s="2" t="n">
        <v>6</v>
      </c>
      <c r="S21" s="2" t="n">
        <v>2</v>
      </c>
      <c r="T21" s="2" t="str">
        <f aca="false">IF(F21="","No","Yes")</f>
        <v>No</v>
      </c>
    </row>
    <row r="22" customFormat="false" ht="15" hidden="false" customHeight="false" outlineLevel="0" collapsed="false">
      <c r="A22" s="2" t="s">
        <v>216</v>
      </c>
      <c r="B22" s="2" t="s">
        <v>61</v>
      </c>
      <c r="C22" s="2" t="s">
        <v>182</v>
      </c>
      <c r="D22" s="2" t="s">
        <v>180</v>
      </c>
      <c r="E22" s="27" t="n">
        <v>4780.77</v>
      </c>
      <c r="F22" s="2" t="s">
        <v>217</v>
      </c>
      <c r="G22" s="2" t="s">
        <v>41</v>
      </c>
      <c r="H22" s="2" t="n">
        <v>66</v>
      </c>
      <c r="I22" s="2" t="n">
        <v>1</v>
      </c>
      <c r="J22" s="2" t="n">
        <v>0</v>
      </c>
      <c r="K22" s="2" t="n">
        <v>2</v>
      </c>
      <c r="L22" s="2" t="n">
        <v>0</v>
      </c>
      <c r="M22" s="2" t="n">
        <v>2</v>
      </c>
      <c r="N22" s="2" t="n">
        <v>31</v>
      </c>
      <c r="O22" s="2" t="n">
        <v>14</v>
      </c>
      <c r="P22" s="2" t="n">
        <v>1</v>
      </c>
      <c r="Q22" s="2" t="n">
        <v>8</v>
      </c>
      <c r="R22" s="2" t="n">
        <v>6</v>
      </c>
      <c r="S22" s="2" t="n">
        <v>2</v>
      </c>
      <c r="T22" s="2" t="str">
        <f aca="false">IF(F22="","No","Yes")</f>
        <v>Yes</v>
      </c>
    </row>
    <row r="23" customFormat="false" ht="15" hidden="false" customHeight="false" outlineLevel="0" collapsed="false">
      <c r="A23" s="2" t="s">
        <v>218</v>
      </c>
      <c r="B23" s="2" t="s">
        <v>61</v>
      </c>
      <c r="C23" s="2" t="s">
        <v>219</v>
      </c>
      <c r="D23" s="2" t="s">
        <v>220</v>
      </c>
      <c r="E23" s="27" t="n">
        <v>964.02</v>
      </c>
      <c r="F23" s="2"/>
      <c r="G23" s="2" t="s">
        <v>39</v>
      </c>
      <c r="H23" s="2" t="n">
        <v>100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</v>
      </c>
      <c r="N23" s="2" t="n">
        <v>26</v>
      </c>
      <c r="O23" s="2" t="n">
        <v>14</v>
      </c>
      <c r="P23" s="2" t="n">
        <v>1</v>
      </c>
      <c r="Q23" s="2" t="n">
        <v>4</v>
      </c>
      <c r="R23" s="2" t="n">
        <v>4</v>
      </c>
      <c r="S23" s="2" t="n">
        <v>3</v>
      </c>
      <c r="T23" s="2" t="str">
        <f aca="false">IF(F23="","No","Yes")</f>
        <v>No</v>
      </c>
    </row>
    <row r="24" customFormat="false" ht="15" hidden="false" customHeight="false" outlineLevel="0" collapsed="false">
      <c r="A24" s="2" t="s">
        <v>221</v>
      </c>
      <c r="B24" s="2" t="s">
        <v>61</v>
      </c>
      <c r="C24" s="2" t="s">
        <v>177</v>
      </c>
      <c r="D24" s="2" t="s">
        <v>178</v>
      </c>
      <c r="E24" s="27" t="n">
        <v>974.4</v>
      </c>
      <c r="F24" s="2" t="s">
        <v>222</v>
      </c>
      <c r="G24" s="2" t="s">
        <v>40</v>
      </c>
      <c r="H24" s="2" t="n">
        <v>90</v>
      </c>
      <c r="I24" s="2" t="n">
        <v>0</v>
      </c>
      <c r="J24" s="2" t="n">
        <v>1</v>
      </c>
      <c r="K24" s="2" t="n">
        <v>2</v>
      </c>
      <c r="L24" s="2" t="n">
        <v>1</v>
      </c>
      <c r="M24" s="2" t="n">
        <v>2</v>
      </c>
      <c r="N24" s="2" t="n">
        <v>31</v>
      </c>
      <c r="O24" s="2" t="n">
        <v>12</v>
      </c>
      <c r="P24" s="2" t="n">
        <v>1</v>
      </c>
      <c r="Q24" s="2" t="n">
        <v>7</v>
      </c>
      <c r="R24" s="2" t="n">
        <v>6</v>
      </c>
      <c r="S24" s="2" t="n">
        <v>5</v>
      </c>
      <c r="T24" s="2" t="str">
        <f aca="false">IF(F24="","No","Yes")</f>
        <v>Yes</v>
      </c>
    </row>
    <row r="25" customFormat="false" ht="15" hidden="false" customHeight="false" outlineLevel="0" collapsed="false">
      <c r="A25" s="2" t="s">
        <v>223</v>
      </c>
      <c r="B25" s="2" t="s">
        <v>61</v>
      </c>
      <c r="C25" s="2" t="s">
        <v>182</v>
      </c>
      <c r="D25" s="2" t="s">
        <v>180</v>
      </c>
      <c r="E25" s="27" t="n">
        <v>5140.74</v>
      </c>
      <c r="F25" s="2" t="s">
        <v>224</v>
      </c>
      <c r="G25" s="2" t="s">
        <v>40</v>
      </c>
      <c r="H25" s="2" t="n">
        <v>94</v>
      </c>
      <c r="I25" s="2" t="n">
        <v>0</v>
      </c>
      <c r="J25" s="2" t="n">
        <v>1</v>
      </c>
      <c r="K25" s="2" t="n">
        <v>0</v>
      </c>
      <c r="L25" s="2" t="n">
        <v>1</v>
      </c>
      <c r="M25" s="2" t="n">
        <v>2</v>
      </c>
      <c r="N25" s="2" t="n">
        <v>33</v>
      </c>
      <c r="O25" s="2" t="n">
        <v>14</v>
      </c>
      <c r="P25" s="2" t="n">
        <v>2</v>
      </c>
      <c r="Q25" s="2" t="n">
        <v>8</v>
      </c>
      <c r="R25" s="2" t="n">
        <v>4</v>
      </c>
      <c r="S25" s="2" t="n">
        <v>5</v>
      </c>
      <c r="T25" s="2" t="str">
        <f aca="false">IF(F25="","No","Yes")</f>
        <v>Yes</v>
      </c>
    </row>
    <row r="26" customFormat="false" ht="15" hidden="false" customHeight="false" outlineLevel="0" collapsed="false">
      <c r="A26" s="2" t="s">
        <v>225</v>
      </c>
      <c r="B26" s="2" t="s">
        <v>61</v>
      </c>
      <c r="C26" s="2" t="s">
        <v>177</v>
      </c>
      <c r="D26" s="2" t="s">
        <v>178</v>
      </c>
      <c r="E26" s="27" t="n">
        <v>2597.56</v>
      </c>
      <c r="F26" s="2"/>
      <c r="G26" s="2" t="s">
        <v>39</v>
      </c>
      <c r="H26" s="2" t="n">
        <v>96</v>
      </c>
      <c r="I26" s="2" t="n">
        <v>0</v>
      </c>
      <c r="J26" s="2" t="n">
        <v>0</v>
      </c>
      <c r="K26" s="2" t="n">
        <v>2</v>
      </c>
      <c r="L26" s="2" t="n">
        <v>0</v>
      </c>
      <c r="M26" s="2" t="n">
        <v>2</v>
      </c>
      <c r="N26" s="2" t="n">
        <v>32</v>
      </c>
      <c r="O26" s="2" t="n">
        <v>15</v>
      </c>
      <c r="P26" s="2" t="n">
        <v>2</v>
      </c>
      <c r="Q26" s="2" t="n">
        <v>7</v>
      </c>
      <c r="R26" s="2" t="n">
        <v>6</v>
      </c>
      <c r="S26" s="2" t="n">
        <v>2</v>
      </c>
      <c r="T26" s="2" t="str">
        <f aca="false">IF(F26="","No","Yes")</f>
        <v>No</v>
      </c>
    </row>
    <row r="27" customFormat="false" ht="15" hidden="false" customHeight="false" outlineLevel="0" collapsed="false">
      <c r="A27" s="2" t="s">
        <v>226</v>
      </c>
      <c r="B27" s="2" t="s">
        <v>63</v>
      </c>
      <c r="C27" s="2" t="s">
        <v>184</v>
      </c>
      <c r="D27" s="2" t="s">
        <v>180</v>
      </c>
      <c r="E27" s="27" t="n">
        <v>85800.41</v>
      </c>
      <c r="F27" s="2"/>
      <c r="G27" s="2" t="s">
        <v>39</v>
      </c>
      <c r="H27" s="2" t="n">
        <v>96</v>
      </c>
      <c r="I27" s="2" t="n">
        <v>0</v>
      </c>
      <c r="J27" s="2" t="n">
        <v>0</v>
      </c>
      <c r="K27" s="2" t="n">
        <v>2</v>
      </c>
      <c r="L27" s="2" t="n">
        <v>0</v>
      </c>
      <c r="M27" s="2" t="n">
        <v>2</v>
      </c>
      <c r="N27" s="2" t="n">
        <v>30</v>
      </c>
      <c r="O27" s="2" t="n">
        <v>15</v>
      </c>
      <c r="P27" s="2" t="n">
        <v>1</v>
      </c>
      <c r="Q27" s="2" t="n">
        <v>5</v>
      </c>
      <c r="R27" s="2" t="n">
        <v>6</v>
      </c>
      <c r="S27" s="2" t="n">
        <v>3</v>
      </c>
      <c r="T27" s="2" t="str">
        <f aca="false">IF(F27="","No","Yes")</f>
        <v>No</v>
      </c>
    </row>
    <row r="28" customFormat="false" ht="15" hidden="false" customHeight="false" outlineLevel="0" collapsed="false">
      <c r="A28" s="2" t="s">
        <v>227</v>
      </c>
      <c r="B28" s="2" t="s">
        <v>67</v>
      </c>
      <c r="C28" s="2" t="s">
        <v>182</v>
      </c>
      <c r="D28" s="2" t="s">
        <v>180</v>
      </c>
      <c r="E28" s="27" t="n">
        <v>10792.39</v>
      </c>
      <c r="F28" s="2" t="s">
        <v>197</v>
      </c>
      <c r="G28" s="2" t="s">
        <v>41</v>
      </c>
      <c r="H28" s="2" t="n">
        <v>66</v>
      </c>
      <c r="I28" s="2" t="n">
        <v>1</v>
      </c>
      <c r="J28" s="2" t="n">
        <v>0</v>
      </c>
      <c r="K28" s="2" t="n">
        <v>2</v>
      </c>
      <c r="L28" s="2" t="n">
        <v>0</v>
      </c>
      <c r="M28" s="2" t="n">
        <v>2</v>
      </c>
      <c r="N28" s="2" t="n">
        <v>31</v>
      </c>
      <c r="O28" s="2" t="n">
        <v>14</v>
      </c>
      <c r="P28" s="2" t="n">
        <v>4</v>
      </c>
      <c r="Q28" s="2" t="n">
        <v>4</v>
      </c>
      <c r="R28" s="2" t="n">
        <v>6</v>
      </c>
      <c r="S28" s="2" t="n">
        <v>3</v>
      </c>
      <c r="T28" s="2" t="str">
        <f aca="false">IF(F28="","No","Yes")</f>
        <v>Yes</v>
      </c>
    </row>
    <row r="29" customFormat="false" ht="15" hidden="false" customHeight="false" outlineLevel="0" collapsed="false">
      <c r="A29" s="2" t="s">
        <v>228</v>
      </c>
      <c r="B29" s="2" t="s">
        <v>63</v>
      </c>
      <c r="C29" s="2" t="s">
        <v>177</v>
      </c>
      <c r="D29" s="2" t="s">
        <v>180</v>
      </c>
      <c r="E29" s="27" t="n">
        <v>115283.39</v>
      </c>
      <c r="F29" s="2"/>
      <c r="G29" s="2" t="s">
        <v>40</v>
      </c>
      <c r="H29" s="2" t="n">
        <v>90</v>
      </c>
      <c r="I29" s="2" t="n">
        <v>0</v>
      </c>
      <c r="J29" s="2" t="n">
        <v>1</v>
      </c>
      <c r="K29" s="2" t="n">
        <v>3</v>
      </c>
      <c r="L29" s="2" t="n">
        <v>0</v>
      </c>
      <c r="M29" s="2" t="n">
        <v>3</v>
      </c>
      <c r="N29" s="2" t="n">
        <v>31</v>
      </c>
      <c r="O29" s="2" t="n">
        <v>11</v>
      </c>
      <c r="P29" s="2" t="n">
        <v>4</v>
      </c>
      <c r="Q29" s="2" t="n">
        <v>7</v>
      </c>
      <c r="R29" s="2" t="n">
        <v>7</v>
      </c>
      <c r="S29" s="2" t="n">
        <v>2</v>
      </c>
      <c r="T29" s="2" t="str">
        <f aca="false">IF(F29="","No","Yes")</f>
        <v>No</v>
      </c>
    </row>
    <row r="30" customFormat="false" ht="15" hidden="false" customHeight="false" outlineLevel="0" collapsed="false">
      <c r="A30" s="2" t="s">
        <v>229</v>
      </c>
      <c r="B30" s="2" t="s">
        <v>61</v>
      </c>
      <c r="C30" s="2" t="s">
        <v>184</v>
      </c>
      <c r="D30" s="2" t="s">
        <v>215</v>
      </c>
      <c r="E30" s="27" t="n">
        <v>5966.44</v>
      </c>
      <c r="F30" s="2" t="s">
        <v>204</v>
      </c>
      <c r="G30" s="2" t="s">
        <v>40</v>
      </c>
      <c r="H30" s="2" t="n">
        <v>84</v>
      </c>
      <c r="I30" s="2" t="n">
        <v>0</v>
      </c>
      <c r="J30" s="2" t="n">
        <v>2</v>
      </c>
      <c r="K30" s="2" t="n">
        <v>3</v>
      </c>
      <c r="L30" s="2" t="n">
        <v>0</v>
      </c>
      <c r="M30" s="2" t="n">
        <v>3</v>
      </c>
      <c r="N30" s="2" t="n">
        <v>30</v>
      </c>
      <c r="O30" s="2" t="n">
        <v>12</v>
      </c>
      <c r="P30" s="2" t="n">
        <v>3</v>
      </c>
      <c r="Q30" s="2" t="n">
        <v>6</v>
      </c>
      <c r="R30" s="2" t="n">
        <v>7</v>
      </c>
      <c r="S30" s="2" t="n">
        <v>2</v>
      </c>
      <c r="T30" s="2" t="str">
        <f aca="false">IF(F30="","No","Yes")</f>
        <v>Yes</v>
      </c>
    </row>
    <row r="31" customFormat="false" ht="15" hidden="false" customHeight="false" outlineLevel="0" collapsed="false">
      <c r="A31" s="2" t="s">
        <v>230</v>
      </c>
      <c r="B31" s="2" t="s">
        <v>63</v>
      </c>
      <c r="C31" s="2" t="s">
        <v>182</v>
      </c>
      <c r="D31" s="2" t="s">
        <v>180</v>
      </c>
      <c r="E31" s="27" t="n">
        <v>62635.52</v>
      </c>
      <c r="F31" s="2"/>
      <c r="G31" s="2" t="s">
        <v>39</v>
      </c>
      <c r="H31" s="2" t="n">
        <v>96</v>
      </c>
      <c r="I31" s="2" t="n">
        <v>0</v>
      </c>
      <c r="J31" s="2" t="n">
        <v>0</v>
      </c>
      <c r="K31" s="2" t="n">
        <v>2</v>
      </c>
      <c r="L31" s="2" t="n">
        <v>0</v>
      </c>
      <c r="M31" s="2" t="n">
        <v>2</v>
      </c>
      <c r="N31" s="2" t="n">
        <v>31</v>
      </c>
      <c r="O31" s="2" t="n">
        <v>14</v>
      </c>
      <c r="P31" s="2" t="n">
        <v>1</v>
      </c>
      <c r="Q31" s="2" t="n">
        <v>8</v>
      </c>
      <c r="R31" s="2" t="n">
        <v>6</v>
      </c>
      <c r="S31" s="2" t="n">
        <v>2</v>
      </c>
      <c r="T31" s="2" t="str">
        <f aca="false">IF(F31="","No","Yes")</f>
        <v>No</v>
      </c>
    </row>
    <row r="32" customFormat="false" ht="15" hidden="false" customHeight="false" outlineLevel="0" collapsed="false">
      <c r="A32" s="2" t="s">
        <v>231</v>
      </c>
      <c r="B32" s="2" t="s">
        <v>65</v>
      </c>
      <c r="C32" s="2" t="s">
        <v>191</v>
      </c>
      <c r="D32" s="2" t="s">
        <v>189</v>
      </c>
      <c r="E32" s="27" t="n">
        <v>161266.69</v>
      </c>
      <c r="F32" s="2"/>
      <c r="G32" s="2" t="s">
        <v>39</v>
      </c>
      <c r="H32" s="2" t="n">
        <v>98</v>
      </c>
      <c r="I32" s="2" t="n">
        <v>0</v>
      </c>
      <c r="J32" s="2" t="n">
        <v>0</v>
      </c>
      <c r="K32" s="2" t="n">
        <v>1</v>
      </c>
      <c r="L32" s="2" t="n">
        <v>0</v>
      </c>
      <c r="M32" s="2" t="n">
        <v>3</v>
      </c>
      <c r="N32" s="2" t="n">
        <v>35</v>
      </c>
      <c r="O32" s="2" t="n">
        <v>13</v>
      </c>
      <c r="P32" s="2" t="n">
        <v>3</v>
      </c>
      <c r="Q32" s="2" t="n">
        <v>10</v>
      </c>
      <c r="R32" s="2" t="n">
        <v>5</v>
      </c>
      <c r="S32" s="2" t="n">
        <v>4</v>
      </c>
      <c r="T32" s="2" t="str">
        <f aca="false">IF(F32="","No","Yes")</f>
        <v>No</v>
      </c>
    </row>
    <row r="33" customFormat="false" ht="15" hidden="false" customHeight="false" outlineLevel="0" collapsed="false">
      <c r="A33" s="2" t="s">
        <v>232</v>
      </c>
      <c r="B33" s="2" t="s">
        <v>63</v>
      </c>
      <c r="C33" s="2" t="s">
        <v>184</v>
      </c>
      <c r="D33" s="2" t="s">
        <v>180</v>
      </c>
      <c r="E33" s="27" t="n">
        <v>184183.65</v>
      </c>
      <c r="F33" s="2"/>
      <c r="G33" s="2" t="s">
        <v>40</v>
      </c>
      <c r="H33" s="2" t="n">
        <v>92</v>
      </c>
      <c r="I33" s="2" t="n">
        <v>0</v>
      </c>
      <c r="J33" s="2" t="n">
        <v>1</v>
      </c>
      <c r="K33" s="2" t="n">
        <v>2</v>
      </c>
      <c r="L33" s="2" t="n">
        <v>0</v>
      </c>
      <c r="M33" s="2" t="n">
        <v>3</v>
      </c>
      <c r="N33" s="2" t="n">
        <v>30</v>
      </c>
      <c r="O33" s="2" t="n">
        <v>12</v>
      </c>
      <c r="P33" s="2" t="n">
        <v>4</v>
      </c>
      <c r="Q33" s="2" t="n">
        <v>5</v>
      </c>
      <c r="R33" s="2" t="n">
        <v>5</v>
      </c>
      <c r="S33" s="2" t="n">
        <v>4</v>
      </c>
      <c r="T33" s="2" t="str">
        <f aca="false">IF(F33="","No","Yes")</f>
        <v>No</v>
      </c>
    </row>
    <row r="34" customFormat="false" ht="15" hidden="false" customHeight="false" outlineLevel="0" collapsed="false">
      <c r="A34" s="2" t="s">
        <v>233</v>
      </c>
      <c r="B34" s="2" t="s">
        <v>65</v>
      </c>
      <c r="C34" s="2" t="s">
        <v>206</v>
      </c>
      <c r="D34" s="2" t="s">
        <v>234</v>
      </c>
      <c r="E34" s="27" t="n">
        <v>168073.96</v>
      </c>
      <c r="F34" s="2" t="s">
        <v>235</v>
      </c>
      <c r="G34" s="2" t="s">
        <v>41</v>
      </c>
      <c r="H34" s="2" t="n">
        <v>68</v>
      </c>
      <c r="I34" s="2" t="n">
        <v>1</v>
      </c>
      <c r="J34" s="2" t="n">
        <v>0</v>
      </c>
      <c r="K34" s="2" t="n">
        <v>1</v>
      </c>
      <c r="L34" s="2" t="n">
        <v>0</v>
      </c>
      <c r="M34" s="2" t="n">
        <v>3</v>
      </c>
      <c r="N34" s="2" t="n">
        <v>31</v>
      </c>
      <c r="O34" s="2" t="n">
        <v>16</v>
      </c>
      <c r="P34" s="2" t="n">
        <v>5</v>
      </c>
      <c r="Q34" s="2" t="n">
        <v>4</v>
      </c>
      <c r="R34" s="2" t="n">
        <v>4</v>
      </c>
      <c r="S34" s="2" t="n">
        <v>2</v>
      </c>
      <c r="T34" s="2" t="str">
        <f aca="false">IF(F34="","No","Yes")</f>
        <v>Yes</v>
      </c>
    </row>
    <row r="35" customFormat="false" ht="15" hidden="false" customHeight="false" outlineLevel="0" collapsed="false">
      <c r="A35" s="2" t="s">
        <v>236</v>
      </c>
      <c r="B35" s="2" t="s">
        <v>61</v>
      </c>
      <c r="C35" s="2" t="s">
        <v>184</v>
      </c>
      <c r="D35" s="2" t="s">
        <v>215</v>
      </c>
      <c r="E35" s="27" t="n">
        <v>2575.42</v>
      </c>
      <c r="F35" s="2"/>
      <c r="G35" s="2" t="s">
        <v>39</v>
      </c>
      <c r="H35" s="2" t="n">
        <v>96</v>
      </c>
      <c r="I35" s="2" t="n">
        <v>0</v>
      </c>
      <c r="J35" s="2" t="n">
        <v>0</v>
      </c>
      <c r="K35" s="2" t="n">
        <v>2</v>
      </c>
      <c r="L35" s="2" t="n">
        <v>0</v>
      </c>
      <c r="M35" s="2" t="n">
        <v>3</v>
      </c>
      <c r="N35" s="2" t="n">
        <v>29</v>
      </c>
      <c r="O35" s="2" t="n">
        <v>12</v>
      </c>
      <c r="P35" s="2" t="n">
        <v>3</v>
      </c>
      <c r="Q35" s="2" t="n">
        <v>5</v>
      </c>
      <c r="R35" s="2" t="n">
        <v>6</v>
      </c>
      <c r="S35" s="2" t="n">
        <v>3</v>
      </c>
      <c r="T35" s="2" t="str">
        <f aca="false">IF(F35="","No","Yes")</f>
        <v>No</v>
      </c>
    </row>
    <row r="36" customFormat="false" ht="15" hidden="false" customHeight="false" outlineLevel="0" collapsed="false">
      <c r="A36" s="2" t="s">
        <v>237</v>
      </c>
      <c r="B36" s="2" t="s">
        <v>65</v>
      </c>
      <c r="C36" s="2" t="s">
        <v>206</v>
      </c>
      <c r="D36" s="2" t="s">
        <v>180</v>
      </c>
      <c r="E36" s="27" t="n">
        <v>239987.15</v>
      </c>
      <c r="F36" s="2" t="s">
        <v>238</v>
      </c>
      <c r="G36" s="2" t="s">
        <v>40</v>
      </c>
      <c r="H36" s="2" t="n">
        <v>90</v>
      </c>
      <c r="I36" s="2" t="n">
        <v>0</v>
      </c>
      <c r="J36" s="2" t="n">
        <v>1</v>
      </c>
      <c r="K36" s="2" t="n">
        <v>2</v>
      </c>
      <c r="L36" s="2" t="n">
        <v>0</v>
      </c>
      <c r="M36" s="2" t="n">
        <v>3</v>
      </c>
      <c r="N36" s="2" t="n">
        <v>34</v>
      </c>
      <c r="O36" s="2" t="n">
        <v>18</v>
      </c>
      <c r="P36" s="2" t="n">
        <v>3</v>
      </c>
      <c r="Q36" s="2" t="n">
        <v>2</v>
      </c>
      <c r="R36" s="2" t="n">
        <v>6</v>
      </c>
      <c r="S36" s="2" t="n">
        <v>5</v>
      </c>
      <c r="T36" s="2" t="str">
        <f aca="false">IF(F36="","No","Yes")</f>
        <v>Yes</v>
      </c>
    </row>
    <row r="37" customFormat="false" ht="15" hidden="false" customHeight="false" outlineLevel="0" collapsed="false">
      <c r="A37" s="2" t="s">
        <v>239</v>
      </c>
      <c r="B37" s="2" t="s">
        <v>61</v>
      </c>
      <c r="C37" s="2" t="s">
        <v>184</v>
      </c>
      <c r="D37" s="2" t="s">
        <v>215</v>
      </c>
      <c r="E37" s="27" t="n">
        <v>168.77</v>
      </c>
      <c r="F37" s="2" t="s">
        <v>186</v>
      </c>
      <c r="G37" s="2" t="s">
        <v>41</v>
      </c>
      <c r="H37" s="2" t="n">
        <v>40</v>
      </c>
      <c r="I37" s="2" t="n">
        <v>2</v>
      </c>
      <c r="J37" s="2" t="n">
        <v>0</v>
      </c>
      <c r="K37" s="2" t="n">
        <v>0</v>
      </c>
      <c r="L37" s="2" t="n">
        <v>0</v>
      </c>
      <c r="M37" s="2" t="n">
        <v>2</v>
      </c>
      <c r="N37" s="2" t="n">
        <v>29</v>
      </c>
      <c r="O37" s="2" t="n">
        <v>15</v>
      </c>
      <c r="P37" s="2" t="n">
        <v>1</v>
      </c>
      <c r="Q37" s="2" t="n">
        <v>7</v>
      </c>
      <c r="R37" s="2" t="n">
        <v>4</v>
      </c>
      <c r="S37" s="2" t="n">
        <v>2</v>
      </c>
      <c r="T37" s="2" t="str">
        <f aca="false">IF(F37="","No","Yes")</f>
        <v>Yes</v>
      </c>
    </row>
    <row r="38" customFormat="false" ht="15" hidden="false" customHeight="false" outlineLevel="0" collapsed="false">
      <c r="A38" s="2" t="s">
        <v>240</v>
      </c>
      <c r="B38" s="2" t="s">
        <v>65</v>
      </c>
      <c r="C38" s="2" t="s">
        <v>241</v>
      </c>
      <c r="D38" s="2" t="s">
        <v>180</v>
      </c>
      <c r="E38" s="27" t="n">
        <v>182733.11</v>
      </c>
      <c r="F38" s="2"/>
      <c r="G38" s="2" t="s">
        <v>40</v>
      </c>
      <c r="H38" s="2" t="n">
        <v>90</v>
      </c>
      <c r="I38" s="2" t="n">
        <v>0</v>
      </c>
      <c r="J38" s="2" t="n">
        <v>1</v>
      </c>
      <c r="K38" s="2" t="n">
        <v>3</v>
      </c>
      <c r="L38" s="2" t="n">
        <v>0</v>
      </c>
      <c r="M38" s="2" t="n">
        <v>3</v>
      </c>
      <c r="N38" s="2" t="n">
        <v>33</v>
      </c>
      <c r="O38" s="2" t="n">
        <v>16</v>
      </c>
      <c r="P38" s="2" t="n">
        <v>3</v>
      </c>
      <c r="Q38" s="2" t="n">
        <v>5</v>
      </c>
      <c r="R38" s="2" t="n">
        <v>7</v>
      </c>
      <c r="S38" s="2" t="n">
        <v>2</v>
      </c>
      <c r="T38" s="2" t="str">
        <f aca="false">IF(F38="","No","Yes")</f>
        <v>No</v>
      </c>
    </row>
    <row r="39" customFormat="false" ht="15" hidden="false" customHeight="false" outlineLevel="0" collapsed="false">
      <c r="A39" s="2" t="s">
        <v>242</v>
      </c>
      <c r="B39" s="2" t="s">
        <v>67</v>
      </c>
      <c r="C39" s="2" t="s">
        <v>177</v>
      </c>
      <c r="D39" s="2" t="s">
        <v>178</v>
      </c>
      <c r="E39" s="27" t="n">
        <v>18737.29</v>
      </c>
      <c r="F39" s="2"/>
      <c r="G39" s="2" t="s">
        <v>39</v>
      </c>
      <c r="H39" s="2" t="n">
        <v>96</v>
      </c>
      <c r="I39" s="2" t="n">
        <v>0</v>
      </c>
      <c r="J39" s="2" t="n">
        <v>0</v>
      </c>
      <c r="K39" s="2" t="n">
        <v>2</v>
      </c>
      <c r="L39" s="2" t="n">
        <v>0</v>
      </c>
      <c r="M39" s="2" t="n">
        <v>3</v>
      </c>
      <c r="N39" s="2" t="n">
        <v>32</v>
      </c>
      <c r="O39" s="2" t="n">
        <v>16</v>
      </c>
      <c r="P39" s="2" t="n">
        <v>3</v>
      </c>
      <c r="Q39" s="2" t="n">
        <v>3</v>
      </c>
      <c r="R39" s="2" t="n">
        <v>6</v>
      </c>
      <c r="S39" s="2" t="n">
        <v>4</v>
      </c>
      <c r="T39" s="2" t="str">
        <f aca="false">IF(F39="","No","Yes")</f>
        <v>No</v>
      </c>
    </row>
    <row r="40" customFormat="false" ht="15" hidden="false" customHeight="false" outlineLevel="0" collapsed="false">
      <c r="A40" s="2" t="s">
        <v>243</v>
      </c>
      <c r="B40" s="2" t="s">
        <v>63</v>
      </c>
      <c r="C40" s="2" t="s">
        <v>184</v>
      </c>
      <c r="D40" s="2" t="s">
        <v>180</v>
      </c>
      <c r="E40" s="27" t="n">
        <v>195934.11</v>
      </c>
      <c r="F40" s="2" t="s">
        <v>222</v>
      </c>
      <c r="G40" s="2" t="s">
        <v>40</v>
      </c>
      <c r="H40" s="2" t="n">
        <v>92</v>
      </c>
      <c r="I40" s="2" t="n">
        <v>0</v>
      </c>
      <c r="J40" s="2" t="n">
        <v>1</v>
      </c>
      <c r="K40" s="2" t="n">
        <v>1</v>
      </c>
      <c r="L40" s="2" t="n">
        <v>1</v>
      </c>
      <c r="M40" s="2" t="n">
        <v>3</v>
      </c>
      <c r="N40" s="2" t="n">
        <v>34</v>
      </c>
      <c r="O40" s="2" t="n">
        <v>15</v>
      </c>
      <c r="P40" s="2" t="n">
        <v>4</v>
      </c>
      <c r="Q40" s="2" t="n">
        <v>6</v>
      </c>
      <c r="R40" s="2" t="n">
        <v>5</v>
      </c>
      <c r="S40" s="2" t="n">
        <v>4</v>
      </c>
      <c r="T40" s="2" t="str">
        <f aca="false">IF(F40="","No","Yes")</f>
        <v>Yes</v>
      </c>
    </row>
    <row r="41" customFormat="false" ht="15" hidden="false" customHeight="false" outlineLevel="0" collapsed="false">
      <c r="A41" s="2" t="s">
        <v>244</v>
      </c>
      <c r="B41" s="2" t="s">
        <v>63</v>
      </c>
      <c r="C41" s="2" t="s">
        <v>188</v>
      </c>
      <c r="D41" s="2" t="s">
        <v>189</v>
      </c>
      <c r="E41" s="27" t="n">
        <v>184665.45</v>
      </c>
      <c r="F41" s="2" t="s">
        <v>207</v>
      </c>
      <c r="G41" s="2" t="s">
        <v>41</v>
      </c>
      <c r="H41" s="2" t="n">
        <v>62</v>
      </c>
      <c r="I41" s="2" t="n">
        <v>1</v>
      </c>
      <c r="J41" s="2" t="n">
        <v>1</v>
      </c>
      <c r="K41" s="2" t="n">
        <v>2</v>
      </c>
      <c r="L41" s="2" t="n">
        <v>0</v>
      </c>
      <c r="M41" s="2" t="n">
        <v>3</v>
      </c>
      <c r="N41" s="2" t="n">
        <v>33</v>
      </c>
      <c r="O41" s="2" t="n">
        <v>14</v>
      </c>
      <c r="P41" s="2" t="n">
        <v>3</v>
      </c>
      <c r="Q41" s="2" t="n">
        <v>8</v>
      </c>
      <c r="R41" s="2" t="n">
        <v>6</v>
      </c>
      <c r="S41" s="2" t="n">
        <v>2</v>
      </c>
      <c r="T41" s="2" t="str">
        <f aca="false">IF(F41="","No","Yes")</f>
        <v>Yes</v>
      </c>
    </row>
    <row r="42" customFormat="false" ht="15" hidden="false" customHeight="false" outlineLevel="0" collapsed="false">
      <c r="A42" s="2" t="s">
        <v>245</v>
      </c>
      <c r="B42" s="2" t="s">
        <v>65</v>
      </c>
      <c r="C42" s="2" t="s">
        <v>193</v>
      </c>
      <c r="D42" s="2" t="s">
        <v>180</v>
      </c>
      <c r="E42" s="27" t="n">
        <v>116486.47</v>
      </c>
      <c r="F42" s="2"/>
      <c r="G42" s="2" t="s">
        <v>40</v>
      </c>
      <c r="H42" s="2" t="n">
        <v>90</v>
      </c>
      <c r="I42" s="2" t="n">
        <v>0</v>
      </c>
      <c r="J42" s="2" t="n">
        <v>1</v>
      </c>
      <c r="K42" s="2" t="n">
        <v>3</v>
      </c>
      <c r="L42" s="2" t="n">
        <v>0</v>
      </c>
      <c r="M42" s="2" t="n">
        <v>3</v>
      </c>
      <c r="N42" s="2" t="n">
        <v>32</v>
      </c>
      <c r="O42" s="2" t="n">
        <v>15</v>
      </c>
      <c r="P42" s="2" t="n">
        <v>4</v>
      </c>
      <c r="Q42" s="2" t="n">
        <v>4</v>
      </c>
      <c r="R42" s="2" t="n">
        <v>7</v>
      </c>
      <c r="S42" s="2" t="n">
        <v>2</v>
      </c>
      <c r="T42" s="2" t="str">
        <f aca="false">IF(F42="","No","Yes")</f>
        <v>No</v>
      </c>
    </row>
    <row r="43" customFormat="false" ht="15" hidden="false" customHeight="false" outlineLevel="0" collapsed="false">
      <c r="A43" s="2" t="s">
        <v>246</v>
      </c>
      <c r="B43" s="2" t="s">
        <v>61</v>
      </c>
      <c r="C43" s="2" t="s">
        <v>177</v>
      </c>
      <c r="D43" s="2" t="s">
        <v>178</v>
      </c>
      <c r="E43" s="27" t="n">
        <v>3881.4</v>
      </c>
      <c r="F43" s="2"/>
      <c r="G43" s="2" t="s">
        <v>40</v>
      </c>
      <c r="H43" s="2" t="n">
        <v>92</v>
      </c>
      <c r="I43" s="2" t="n">
        <v>0</v>
      </c>
      <c r="J43" s="2" t="n">
        <v>1</v>
      </c>
      <c r="K43" s="2" t="n">
        <v>2</v>
      </c>
      <c r="L43" s="2" t="n">
        <v>0</v>
      </c>
      <c r="M43" s="2" t="n">
        <v>2</v>
      </c>
      <c r="N43" s="2" t="n">
        <v>29</v>
      </c>
      <c r="O43" s="2" t="n">
        <v>13</v>
      </c>
      <c r="P43" s="2" t="n">
        <v>1</v>
      </c>
      <c r="Q43" s="2" t="n">
        <v>6</v>
      </c>
      <c r="R43" s="2" t="n">
        <v>6</v>
      </c>
      <c r="S43" s="2" t="n">
        <v>3</v>
      </c>
      <c r="T43" s="2" t="str">
        <f aca="false">IF(F43="","No","Yes")</f>
        <v>No</v>
      </c>
    </row>
    <row r="44" customFormat="false" ht="15" hidden="false" customHeight="false" outlineLevel="0" collapsed="false">
      <c r="A44" s="2" t="s">
        <v>247</v>
      </c>
      <c r="B44" s="2" t="s">
        <v>65</v>
      </c>
      <c r="C44" s="2" t="s">
        <v>191</v>
      </c>
      <c r="D44" s="2" t="s">
        <v>189</v>
      </c>
      <c r="E44" s="27" t="n">
        <v>244793.88</v>
      </c>
      <c r="F44" s="2"/>
      <c r="G44" s="2" t="s">
        <v>39</v>
      </c>
      <c r="H44" s="2" t="n">
        <v>98</v>
      </c>
      <c r="I44" s="2" t="n">
        <v>0</v>
      </c>
      <c r="J44" s="2" t="n">
        <v>0</v>
      </c>
      <c r="K44" s="2" t="n">
        <v>1</v>
      </c>
      <c r="L44" s="2" t="n">
        <v>0</v>
      </c>
      <c r="M44" s="2" t="n">
        <v>3</v>
      </c>
      <c r="N44" s="2" t="n">
        <v>34</v>
      </c>
      <c r="O44" s="2" t="n">
        <v>15</v>
      </c>
      <c r="P44" s="2" t="n">
        <v>5</v>
      </c>
      <c r="Q44" s="2" t="n">
        <v>8</v>
      </c>
      <c r="R44" s="2" t="n">
        <v>4</v>
      </c>
      <c r="S44" s="2" t="n">
        <v>2</v>
      </c>
      <c r="T44" s="2" t="str">
        <f aca="false">IF(F44="","No","Yes")</f>
        <v>No</v>
      </c>
    </row>
    <row r="45" customFormat="false" ht="15" hidden="false" customHeight="false" outlineLevel="0" collapsed="false">
      <c r="A45" s="2" t="s">
        <v>248</v>
      </c>
      <c r="B45" s="2" t="s">
        <v>61</v>
      </c>
      <c r="C45" s="2" t="s">
        <v>184</v>
      </c>
      <c r="D45" s="2" t="s">
        <v>180</v>
      </c>
      <c r="E45" s="27" t="n">
        <v>4896.54</v>
      </c>
      <c r="F45" s="2" t="s">
        <v>238</v>
      </c>
      <c r="G45" s="2" t="s">
        <v>40</v>
      </c>
      <c r="H45" s="2" t="n">
        <v>90</v>
      </c>
      <c r="I45" s="2" t="n">
        <v>0</v>
      </c>
      <c r="J45" s="2" t="n">
        <v>1</v>
      </c>
      <c r="K45" s="2" t="n">
        <v>2</v>
      </c>
      <c r="L45" s="2" t="n">
        <v>0</v>
      </c>
      <c r="M45" s="2" t="n">
        <v>2</v>
      </c>
      <c r="N45" s="2" t="n">
        <v>31</v>
      </c>
      <c r="O45" s="2" t="n">
        <v>12</v>
      </c>
      <c r="P45" s="2" t="n">
        <v>2</v>
      </c>
      <c r="Q45" s="2" t="n">
        <v>7</v>
      </c>
      <c r="R45" s="2" t="n">
        <v>6</v>
      </c>
      <c r="S45" s="2" t="n">
        <v>4</v>
      </c>
      <c r="T45" s="2" t="str">
        <f aca="false">IF(F45="","No","Yes")</f>
        <v>Yes</v>
      </c>
    </row>
    <row r="46" customFormat="false" ht="15" hidden="false" customHeight="false" outlineLevel="0" collapsed="false">
      <c r="A46" s="2" t="s">
        <v>249</v>
      </c>
      <c r="B46" s="2" t="s">
        <v>63</v>
      </c>
      <c r="C46" s="2" t="s">
        <v>182</v>
      </c>
      <c r="D46" s="2" t="s">
        <v>180</v>
      </c>
      <c r="E46" s="27" t="n">
        <v>18036.12</v>
      </c>
      <c r="F46" s="2" t="s">
        <v>250</v>
      </c>
      <c r="G46" s="2" t="s">
        <v>41</v>
      </c>
      <c r="H46" s="2" t="n">
        <v>40</v>
      </c>
      <c r="I46" s="2" t="n">
        <v>2</v>
      </c>
      <c r="J46" s="2" t="n">
        <v>0</v>
      </c>
      <c r="K46" s="2" t="n">
        <v>0</v>
      </c>
      <c r="L46" s="2" t="n">
        <v>0</v>
      </c>
      <c r="M46" s="2" t="n">
        <v>2</v>
      </c>
      <c r="N46" s="2" t="n">
        <v>35</v>
      </c>
      <c r="O46" s="2" t="n">
        <v>16</v>
      </c>
      <c r="P46" s="2" t="n">
        <v>3</v>
      </c>
      <c r="Q46" s="2" t="n">
        <v>8</v>
      </c>
      <c r="R46" s="2" t="n">
        <v>3</v>
      </c>
      <c r="S46" s="2" t="n">
        <v>5</v>
      </c>
      <c r="T46" s="2" t="str">
        <f aca="false">IF(F46="","No","Yes")</f>
        <v>Yes</v>
      </c>
    </row>
    <row r="47" customFormat="false" ht="15" hidden="false" customHeight="false" outlineLevel="0" collapsed="false">
      <c r="A47" s="2" t="s">
        <v>251</v>
      </c>
      <c r="B47" s="2" t="s">
        <v>61</v>
      </c>
      <c r="C47" s="2" t="s">
        <v>184</v>
      </c>
      <c r="D47" s="2" t="s">
        <v>215</v>
      </c>
      <c r="E47" s="27" t="n">
        <v>4141.71</v>
      </c>
      <c r="F47" s="2"/>
      <c r="G47" s="2" t="s">
        <v>39</v>
      </c>
      <c r="H47" s="2" t="n">
        <v>98</v>
      </c>
      <c r="I47" s="2" t="n">
        <v>0</v>
      </c>
      <c r="J47" s="2" t="n">
        <v>0</v>
      </c>
      <c r="K47" s="2" t="n">
        <v>1</v>
      </c>
      <c r="L47" s="2" t="n">
        <v>0</v>
      </c>
      <c r="M47" s="2" t="n">
        <v>2</v>
      </c>
      <c r="N47" s="2" t="n">
        <v>30</v>
      </c>
      <c r="O47" s="2" t="n">
        <v>13</v>
      </c>
      <c r="P47" s="2" t="n">
        <v>1</v>
      </c>
      <c r="Q47" s="2" t="n">
        <v>7</v>
      </c>
      <c r="R47" s="2" t="n">
        <v>5</v>
      </c>
      <c r="S47" s="2" t="n">
        <v>4</v>
      </c>
      <c r="T47" s="2" t="str">
        <f aca="false">IF(F47="","No","Yes")</f>
        <v>No</v>
      </c>
    </row>
    <row r="48" customFormat="false" ht="15" hidden="false" customHeight="false" outlineLevel="0" collapsed="false">
      <c r="A48" s="2" t="s">
        <v>252</v>
      </c>
      <c r="B48" s="2" t="s">
        <v>61</v>
      </c>
      <c r="C48" s="2" t="s">
        <v>182</v>
      </c>
      <c r="D48" s="2" t="s">
        <v>180</v>
      </c>
      <c r="E48" s="27" t="n">
        <v>4887.29</v>
      </c>
      <c r="F48" s="2"/>
      <c r="G48" s="2" t="s">
        <v>40</v>
      </c>
      <c r="H48" s="2" t="n">
        <v>90</v>
      </c>
      <c r="I48" s="2" t="n">
        <v>0</v>
      </c>
      <c r="J48" s="2" t="n">
        <v>1</v>
      </c>
      <c r="K48" s="2" t="n">
        <v>3</v>
      </c>
      <c r="L48" s="2" t="n">
        <v>0</v>
      </c>
      <c r="M48" s="2" t="n">
        <v>2</v>
      </c>
      <c r="N48" s="2" t="n">
        <v>32</v>
      </c>
      <c r="O48" s="2" t="n">
        <v>11</v>
      </c>
      <c r="P48" s="2" t="n">
        <v>1</v>
      </c>
      <c r="Q48" s="2" t="n">
        <v>9</v>
      </c>
      <c r="R48" s="2" t="n">
        <v>7</v>
      </c>
      <c r="S48" s="2" t="n">
        <v>4</v>
      </c>
      <c r="T48" s="2" t="str">
        <f aca="false">IF(F48="","No","Yes")</f>
        <v>No</v>
      </c>
    </row>
    <row r="49" customFormat="false" ht="15" hidden="false" customHeight="false" outlineLevel="0" collapsed="false">
      <c r="A49" s="2" t="s">
        <v>253</v>
      </c>
      <c r="B49" s="2" t="s">
        <v>67</v>
      </c>
      <c r="C49" s="2" t="s">
        <v>211</v>
      </c>
      <c r="D49" s="2" t="s">
        <v>180</v>
      </c>
      <c r="E49" s="27" t="n">
        <v>28474.53</v>
      </c>
      <c r="F49" s="2"/>
      <c r="G49" s="2" t="s">
        <v>39</v>
      </c>
      <c r="H49" s="2" t="n">
        <v>98</v>
      </c>
      <c r="I49" s="2" t="n">
        <v>0</v>
      </c>
      <c r="J49" s="2" t="n">
        <v>0</v>
      </c>
      <c r="K49" s="2" t="n">
        <v>1</v>
      </c>
      <c r="L49" s="2" t="n">
        <v>0</v>
      </c>
      <c r="M49" s="2" t="n">
        <v>2</v>
      </c>
      <c r="N49" s="2" t="n">
        <v>30</v>
      </c>
      <c r="O49" s="2" t="n">
        <v>13</v>
      </c>
      <c r="P49" s="2" t="n">
        <v>3</v>
      </c>
      <c r="Q49" s="2" t="n">
        <v>8</v>
      </c>
      <c r="R49" s="2" t="n">
        <v>4</v>
      </c>
      <c r="S49" s="2" t="n">
        <v>2</v>
      </c>
      <c r="T49" s="2" t="str">
        <f aca="false">IF(F49="","No","Yes")</f>
        <v>No</v>
      </c>
    </row>
    <row r="50" customFormat="false" ht="15" hidden="false" customHeight="false" outlineLevel="0" collapsed="false">
      <c r="A50" s="2" t="s">
        <v>254</v>
      </c>
      <c r="B50" s="2" t="s">
        <v>65</v>
      </c>
      <c r="C50" s="2" t="s">
        <v>193</v>
      </c>
      <c r="D50" s="2" t="s">
        <v>180</v>
      </c>
      <c r="E50" s="27" t="n">
        <v>81958.8</v>
      </c>
      <c r="F50" s="2" t="s">
        <v>217</v>
      </c>
      <c r="G50" s="2" t="s">
        <v>41</v>
      </c>
      <c r="H50" s="2" t="n">
        <v>66</v>
      </c>
      <c r="I50" s="2" t="n">
        <v>1</v>
      </c>
      <c r="J50" s="2" t="n">
        <v>0</v>
      </c>
      <c r="K50" s="2" t="n">
        <v>2</v>
      </c>
      <c r="L50" s="2" t="n">
        <v>0</v>
      </c>
      <c r="M50" s="2" t="n">
        <v>2</v>
      </c>
      <c r="N50" s="2" t="n">
        <v>34</v>
      </c>
      <c r="O50" s="2" t="n">
        <v>16</v>
      </c>
      <c r="P50" s="2" t="n">
        <v>2</v>
      </c>
      <c r="Q50" s="2" t="n">
        <v>9</v>
      </c>
      <c r="R50" s="2" t="n">
        <v>6</v>
      </c>
      <c r="S50" s="2" t="n">
        <v>1</v>
      </c>
      <c r="T50" s="2" t="str">
        <f aca="false">IF(F50="","No","Yes")</f>
        <v>Yes</v>
      </c>
    </row>
    <row r="51" customFormat="false" ht="15" hidden="false" customHeight="false" outlineLevel="0" collapsed="false">
      <c r="A51" s="2" t="s">
        <v>255</v>
      </c>
      <c r="B51" s="2" t="s">
        <v>61</v>
      </c>
      <c r="C51" s="2" t="s">
        <v>219</v>
      </c>
      <c r="D51" s="2" t="s">
        <v>220</v>
      </c>
      <c r="E51" s="27" t="n">
        <v>4463.49</v>
      </c>
      <c r="F51" s="2"/>
      <c r="G51" s="2" t="s">
        <v>39</v>
      </c>
      <c r="H51" s="2" t="n">
        <v>98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2</v>
      </c>
      <c r="N51" s="2" t="n">
        <v>30</v>
      </c>
      <c r="O51" s="2" t="n">
        <v>15</v>
      </c>
      <c r="P51" s="2" t="n">
        <v>1</v>
      </c>
      <c r="Q51" s="2" t="n">
        <v>6</v>
      </c>
      <c r="R51" s="2" t="n">
        <v>5</v>
      </c>
      <c r="S51" s="2" t="n">
        <v>3</v>
      </c>
      <c r="T51" s="2" t="str">
        <f aca="false">IF(F51="","No","Yes")</f>
        <v>No</v>
      </c>
    </row>
    <row r="52" customFormat="false" ht="15" hidden="false" customHeight="false" outlineLevel="0" collapsed="false">
      <c r="A52" s="2" t="s">
        <v>256</v>
      </c>
      <c r="B52" s="2" t="s">
        <v>65</v>
      </c>
      <c r="C52" s="2" t="s">
        <v>241</v>
      </c>
      <c r="D52" s="2" t="s">
        <v>180</v>
      </c>
      <c r="E52" s="27" t="n">
        <v>248119</v>
      </c>
      <c r="F52" s="2"/>
      <c r="G52" s="2" t="s">
        <v>39</v>
      </c>
      <c r="H52" s="2" t="n">
        <v>98</v>
      </c>
      <c r="I52" s="2" t="n">
        <v>0</v>
      </c>
      <c r="J52" s="2" t="n">
        <v>0</v>
      </c>
      <c r="K52" s="2" t="n">
        <v>1</v>
      </c>
      <c r="L52" s="2" t="n">
        <v>0</v>
      </c>
      <c r="M52" s="2" t="n">
        <v>2</v>
      </c>
      <c r="N52" s="2" t="n">
        <v>30</v>
      </c>
      <c r="O52" s="2" t="n">
        <v>13</v>
      </c>
      <c r="P52" s="2" t="n">
        <v>1</v>
      </c>
      <c r="Q52" s="2" t="n">
        <v>9</v>
      </c>
      <c r="R52" s="2" t="n">
        <v>5</v>
      </c>
      <c r="S52" s="2" t="n">
        <v>2</v>
      </c>
      <c r="T52" s="2" t="str">
        <f aca="false">IF(F52="","No","Yes")</f>
        <v>No</v>
      </c>
    </row>
    <row r="53" customFormat="false" ht="15" hidden="false" customHeight="false" outlineLevel="0" collapsed="false">
      <c r="A53" s="2" t="s">
        <v>257</v>
      </c>
      <c r="B53" s="2" t="s">
        <v>65</v>
      </c>
      <c r="C53" s="2" t="s">
        <v>193</v>
      </c>
      <c r="D53" s="2" t="s">
        <v>194</v>
      </c>
      <c r="E53" s="27" t="n">
        <v>160914.03</v>
      </c>
      <c r="F53" s="2"/>
      <c r="G53" s="2" t="s">
        <v>39</v>
      </c>
      <c r="H53" s="2" t="n">
        <v>98</v>
      </c>
      <c r="I53" s="2" t="n">
        <v>0</v>
      </c>
      <c r="J53" s="2" t="n">
        <v>0</v>
      </c>
      <c r="K53" s="2" t="n">
        <v>1</v>
      </c>
      <c r="L53" s="2" t="n">
        <v>0</v>
      </c>
      <c r="M53" s="2" t="n">
        <v>2</v>
      </c>
      <c r="N53" s="2" t="n">
        <v>31</v>
      </c>
      <c r="O53" s="2" t="n">
        <v>15</v>
      </c>
      <c r="P53" s="2" t="n">
        <v>3</v>
      </c>
      <c r="Q53" s="2" t="n">
        <v>5</v>
      </c>
      <c r="R53" s="2" t="n">
        <v>4</v>
      </c>
      <c r="S53" s="2" t="n">
        <v>4</v>
      </c>
      <c r="T53" s="2" t="str">
        <f aca="false">IF(F53="","No","Yes")</f>
        <v>No</v>
      </c>
    </row>
    <row r="54" customFormat="false" ht="15" hidden="false" customHeight="false" outlineLevel="0" collapsed="false">
      <c r="A54" s="2" t="s">
        <v>258</v>
      </c>
      <c r="B54" s="2" t="s">
        <v>63</v>
      </c>
      <c r="C54" s="2" t="s">
        <v>184</v>
      </c>
      <c r="D54" s="2" t="s">
        <v>180</v>
      </c>
      <c r="E54" s="27" t="n">
        <v>193199.51</v>
      </c>
      <c r="F54" s="2" t="s">
        <v>207</v>
      </c>
      <c r="G54" s="2" t="s">
        <v>41</v>
      </c>
      <c r="H54" s="2" t="n">
        <v>60</v>
      </c>
      <c r="I54" s="2" t="n">
        <v>1</v>
      </c>
      <c r="J54" s="2" t="n">
        <v>1</v>
      </c>
      <c r="K54" s="2" t="n">
        <v>3</v>
      </c>
      <c r="L54" s="2" t="n">
        <v>0</v>
      </c>
      <c r="M54" s="2" t="n">
        <v>3</v>
      </c>
      <c r="N54" s="2" t="n">
        <v>32</v>
      </c>
      <c r="O54" s="2" t="n">
        <v>12</v>
      </c>
      <c r="P54" s="2" t="n">
        <v>3</v>
      </c>
      <c r="Q54" s="2" t="n">
        <v>9</v>
      </c>
      <c r="R54" s="2" t="n">
        <v>7</v>
      </c>
      <c r="S54" s="2" t="n">
        <v>1</v>
      </c>
      <c r="T54" s="2" t="str">
        <f aca="false">IF(F54="","No","Yes")</f>
        <v>Yes</v>
      </c>
    </row>
    <row r="55" customFormat="false" ht="15" hidden="false" customHeight="false" outlineLevel="0" collapsed="false">
      <c r="A55" s="2" t="s">
        <v>259</v>
      </c>
      <c r="B55" s="2" t="s">
        <v>61</v>
      </c>
      <c r="C55" s="2" t="s">
        <v>219</v>
      </c>
      <c r="D55" s="2" t="s">
        <v>220</v>
      </c>
      <c r="E55" s="27" t="n">
        <v>2307</v>
      </c>
      <c r="F55" s="2" t="s">
        <v>260</v>
      </c>
      <c r="G55" s="2" t="s">
        <v>42</v>
      </c>
      <c r="H55" s="2" t="n">
        <v>0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str">
        <f aca="false">IF(F55="","No","Yes")</f>
        <v>Yes</v>
      </c>
    </row>
    <row r="56" customFormat="false" ht="15" hidden="false" customHeight="false" outlineLevel="0" collapsed="false">
      <c r="A56" s="2" t="s">
        <v>261</v>
      </c>
      <c r="B56" s="2" t="s">
        <v>61</v>
      </c>
      <c r="C56" s="2" t="s">
        <v>219</v>
      </c>
      <c r="D56" s="2" t="s">
        <v>220</v>
      </c>
      <c r="E56" s="27" t="n">
        <v>5712.95</v>
      </c>
      <c r="F56" s="2"/>
      <c r="G56" s="2" t="s">
        <v>39</v>
      </c>
      <c r="H56" s="2" t="n">
        <v>98</v>
      </c>
      <c r="I56" s="2" t="n">
        <v>0</v>
      </c>
      <c r="J56" s="2" t="n">
        <v>0</v>
      </c>
      <c r="K56" s="2" t="n">
        <v>1</v>
      </c>
      <c r="L56" s="2" t="n">
        <v>0</v>
      </c>
      <c r="M56" s="2" t="n">
        <v>2</v>
      </c>
      <c r="N56" s="2" t="n">
        <v>29</v>
      </c>
      <c r="O56" s="2" t="n">
        <v>14</v>
      </c>
      <c r="P56" s="2" t="n">
        <v>1</v>
      </c>
      <c r="Q56" s="2" t="n">
        <v>5</v>
      </c>
      <c r="R56" s="2" t="n">
        <v>5</v>
      </c>
      <c r="S56" s="2" t="n">
        <v>4</v>
      </c>
      <c r="T56" s="2" t="str">
        <f aca="false">IF(F56="","No","Yes")</f>
        <v>No</v>
      </c>
    </row>
    <row r="57" customFormat="false" ht="15" hidden="false" customHeight="false" outlineLevel="0" collapsed="false">
      <c r="A57" s="2" t="s">
        <v>262</v>
      </c>
      <c r="B57" s="2" t="s">
        <v>63</v>
      </c>
      <c r="C57" s="2" t="s">
        <v>184</v>
      </c>
      <c r="D57" s="2" t="s">
        <v>234</v>
      </c>
      <c r="E57" s="27" t="n">
        <v>25525.87</v>
      </c>
      <c r="F57" s="2" t="s">
        <v>235</v>
      </c>
      <c r="G57" s="2" t="s">
        <v>41</v>
      </c>
      <c r="H57" s="2" t="n">
        <v>62</v>
      </c>
      <c r="I57" s="2" t="n">
        <v>1</v>
      </c>
      <c r="J57" s="2" t="n">
        <v>1</v>
      </c>
      <c r="K57" s="2" t="n">
        <v>2</v>
      </c>
      <c r="L57" s="2" t="n">
        <v>0</v>
      </c>
      <c r="M57" s="2" t="n">
        <v>3</v>
      </c>
      <c r="N57" s="2" t="n">
        <v>29</v>
      </c>
      <c r="O57" s="2" t="n">
        <v>12</v>
      </c>
      <c r="P57" s="2" t="n">
        <v>3</v>
      </c>
      <c r="Q57" s="2" t="n">
        <v>6</v>
      </c>
      <c r="R57" s="2" t="n">
        <v>6</v>
      </c>
      <c r="S57" s="2" t="n">
        <v>2</v>
      </c>
      <c r="T57" s="2" t="str">
        <f aca="false">IF(F57="","No","Yes")</f>
        <v>Yes</v>
      </c>
    </row>
    <row r="58" customFormat="false" ht="15" hidden="false" customHeight="false" outlineLevel="0" collapsed="false">
      <c r="A58" s="2" t="s">
        <v>263</v>
      </c>
      <c r="B58" s="2" t="s">
        <v>65</v>
      </c>
      <c r="C58" s="2" t="s">
        <v>193</v>
      </c>
      <c r="D58" s="2" t="s">
        <v>180</v>
      </c>
      <c r="E58" s="27" t="n">
        <v>52578.75</v>
      </c>
      <c r="F58" s="2"/>
      <c r="G58" s="2" t="s">
        <v>39</v>
      </c>
      <c r="H58" s="2" t="n">
        <v>96</v>
      </c>
      <c r="I58" s="2" t="n">
        <v>0</v>
      </c>
      <c r="J58" s="2" t="n">
        <v>0</v>
      </c>
      <c r="K58" s="2" t="n">
        <v>2</v>
      </c>
      <c r="L58" s="2" t="n">
        <v>0</v>
      </c>
      <c r="M58" s="2" t="n">
        <v>3</v>
      </c>
      <c r="N58" s="2" t="n">
        <v>30</v>
      </c>
      <c r="O58" s="2" t="n">
        <v>14</v>
      </c>
      <c r="P58" s="2" t="n">
        <v>3</v>
      </c>
      <c r="Q58" s="2" t="n">
        <v>2</v>
      </c>
      <c r="R58" s="2" t="n">
        <v>6</v>
      </c>
      <c r="S58" s="2" t="n">
        <v>5</v>
      </c>
      <c r="T58" s="2" t="str">
        <f aca="false">IF(F58="","No","Yes")</f>
        <v>No</v>
      </c>
    </row>
    <row r="59" customFormat="false" ht="15" hidden="false" customHeight="false" outlineLevel="0" collapsed="false">
      <c r="A59" s="2" t="s">
        <v>264</v>
      </c>
      <c r="B59" s="2" t="s">
        <v>61</v>
      </c>
      <c r="C59" s="2" t="s">
        <v>182</v>
      </c>
      <c r="D59" s="2" t="s">
        <v>180</v>
      </c>
      <c r="E59" s="27" t="n">
        <v>3911.29</v>
      </c>
      <c r="F59" s="2" t="s">
        <v>265</v>
      </c>
      <c r="G59" s="2" t="s">
        <v>42</v>
      </c>
      <c r="H59" s="2" t="n">
        <v>0</v>
      </c>
      <c r="I59" s="2" t="n">
        <v>1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str">
        <f aca="false">IF(F59="","No","Yes")</f>
        <v>Yes</v>
      </c>
    </row>
    <row r="60" customFormat="false" ht="15" hidden="false" customHeight="false" outlineLevel="0" collapsed="false">
      <c r="A60" s="2" t="s">
        <v>266</v>
      </c>
      <c r="B60" s="2" t="s">
        <v>61</v>
      </c>
      <c r="C60" s="2" t="s">
        <v>182</v>
      </c>
      <c r="D60" s="2" t="s">
        <v>180</v>
      </c>
      <c r="E60" s="27" t="n">
        <v>4976.81</v>
      </c>
      <c r="F60" s="2" t="s">
        <v>204</v>
      </c>
      <c r="G60" s="2" t="s">
        <v>40</v>
      </c>
      <c r="H60" s="2" t="n">
        <v>90</v>
      </c>
      <c r="I60" s="2" t="n">
        <v>0</v>
      </c>
      <c r="J60" s="2" t="n">
        <v>1</v>
      </c>
      <c r="K60" s="2" t="n">
        <v>2</v>
      </c>
      <c r="L60" s="2" t="n">
        <v>0</v>
      </c>
      <c r="M60" s="2" t="n">
        <v>3</v>
      </c>
      <c r="N60" s="2" t="n">
        <v>32</v>
      </c>
      <c r="O60" s="2" t="n">
        <v>12</v>
      </c>
      <c r="P60" s="2" t="n">
        <v>2</v>
      </c>
      <c r="Q60" s="2" t="n">
        <v>10</v>
      </c>
      <c r="R60" s="2" t="n">
        <v>6</v>
      </c>
      <c r="S60" s="2" t="n">
        <v>2</v>
      </c>
      <c r="T60" s="2" t="str">
        <f aca="false">IF(F60="","No","Yes")</f>
        <v>Yes</v>
      </c>
    </row>
    <row r="61" customFormat="false" ht="15" hidden="false" customHeight="false" outlineLevel="0" collapsed="false">
      <c r="A61" s="2" t="s">
        <v>267</v>
      </c>
      <c r="B61" s="2" t="s">
        <v>63</v>
      </c>
      <c r="C61" s="2" t="s">
        <v>268</v>
      </c>
      <c r="D61" s="2" t="s">
        <v>180</v>
      </c>
      <c r="E61" s="27" t="n">
        <v>195037.93</v>
      </c>
      <c r="F61" s="2" t="s">
        <v>224</v>
      </c>
      <c r="G61" s="2" t="s">
        <v>40</v>
      </c>
      <c r="H61" s="2" t="n">
        <v>92</v>
      </c>
      <c r="I61" s="2" t="n">
        <v>0</v>
      </c>
      <c r="J61" s="2" t="n">
        <v>1</v>
      </c>
      <c r="K61" s="2" t="n">
        <v>1</v>
      </c>
      <c r="L61" s="2" t="n">
        <v>1</v>
      </c>
      <c r="M61" s="2" t="n">
        <v>2</v>
      </c>
      <c r="N61" s="2" t="n">
        <v>34</v>
      </c>
      <c r="O61" s="2" t="n">
        <v>17</v>
      </c>
      <c r="P61" s="2" t="n">
        <v>1</v>
      </c>
      <c r="Q61" s="2" t="n">
        <v>8</v>
      </c>
      <c r="R61" s="2" t="n">
        <v>5</v>
      </c>
      <c r="S61" s="2" t="n">
        <v>3</v>
      </c>
      <c r="T61" s="2" t="str">
        <f aca="false">IF(F61="","No","Yes")</f>
        <v>Yes</v>
      </c>
    </row>
    <row r="62" customFormat="false" ht="15" hidden="false" customHeight="false" outlineLevel="0" collapsed="false">
      <c r="A62" s="2" t="s">
        <v>269</v>
      </c>
      <c r="B62" s="2" t="s">
        <v>65</v>
      </c>
      <c r="C62" s="2" t="s">
        <v>206</v>
      </c>
      <c r="D62" s="2" t="s">
        <v>180</v>
      </c>
      <c r="E62" s="27" t="n">
        <v>79120.53</v>
      </c>
      <c r="F62" s="2" t="s">
        <v>195</v>
      </c>
      <c r="G62" s="2" t="s">
        <v>40</v>
      </c>
      <c r="H62" s="2" t="n">
        <v>92</v>
      </c>
      <c r="I62" s="2" t="n">
        <v>0</v>
      </c>
      <c r="J62" s="2" t="n">
        <v>1</v>
      </c>
      <c r="K62" s="2" t="n">
        <v>1</v>
      </c>
      <c r="L62" s="2" t="n">
        <v>0</v>
      </c>
      <c r="M62" s="2" t="n">
        <v>2</v>
      </c>
      <c r="N62" s="2" t="n">
        <v>28</v>
      </c>
      <c r="O62" s="2" t="n">
        <v>14</v>
      </c>
      <c r="P62" s="2" t="n">
        <v>2</v>
      </c>
      <c r="Q62" s="2" t="n">
        <v>4</v>
      </c>
      <c r="R62" s="2" t="n">
        <v>5</v>
      </c>
      <c r="S62" s="2" t="n">
        <v>3</v>
      </c>
      <c r="T62" s="2" t="str">
        <f aca="false">IF(F62="","No","Yes")</f>
        <v>Yes</v>
      </c>
    </row>
    <row r="63" customFormat="false" ht="15" hidden="false" customHeight="false" outlineLevel="0" collapsed="false">
      <c r="A63" s="2" t="s">
        <v>270</v>
      </c>
      <c r="B63" s="2" t="s">
        <v>65</v>
      </c>
      <c r="C63" s="2" t="s">
        <v>206</v>
      </c>
      <c r="D63" s="2" t="s">
        <v>180</v>
      </c>
      <c r="E63" s="27" t="n">
        <v>172998.03</v>
      </c>
      <c r="F63" s="2"/>
      <c r="G63" s="2" t="s">
        <v>39</v>
      </c>
      <c r="H63" s="2" t="n">
        <v>100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3</v>
      </c>
      <c r="N63" s="2" t="n">
        <v>29</v>
      </c>
      <c r="O63" s="2" t="n">
        <v>14</v>
      </c>
      <c r="P63" s="2" t="n">
        <v>3</v>
      </c>
      <c r="Q63" s="2" t="n">
        <v>6</v>
      </c>
      <c r="R63" s="2" t="n">
        <v>4</v>
      </c>
      <c r="S63" s="2" t="n">
        <v>2</v>
      </c>
      <c r="T63" s="2" t="str">
        <f aca="false">IF(F63="","No","Yes")</f>
        <v>No</v>
      </c>
    </row>
    <row r="64" customFormat="false" ht="15" hidden="false" customHeight="false" outlineLevel="0" collapsed="false">
      <c r="A64" s="2" t="s">
        <v>271</v>
      </c>
      <c r="B64" s="2" t="s">
        <v>65</v>
      </c>
      <c r="C64" s="2" t="s">
        <v>206</v>
      </c>
      <c r="D64" s="2" t="s">
        <v>180</v>
      </c>
      <c r="E64" s="27" t="n">
        <v>72478.15</v>
      </c>
      <c r="F64" s="2" t="s">
        <v>265</v>
      </c>
      <c r="G64" s="2" t="s">
        <v>42</v>
      </c>
      <c r="H64" s="2" t="n">
        <v>0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str">
        <f aca="false">IF(F64="","No","Yes")</f>
        <v>Yes</v>
      </c>
    </row>
    <row r="65" customFormat="false" ht="15" hidden="false" customHeight="false" outlineLevel="0" collapsed="false">
      <c r="A65" s="2" t="s">
        <v>272</v>
      </c>
      <c r="B65" s="2" t="s">
        <v>63</v>
      </c>
      <c r="C65" s="2" t="s">
        <v>184</v>
      </c>
      <c r="D65" s="2" t="s">
        <v>180</v>
      </c>
      <c r="E65" s="27" t="n">
        <v>187884.32</v>
      </c>
      <c r="F65" s="2"/>
      <c r="G65" s="2" t="s">
        <v>40</v>
      </c>
      <c r="H65" s="2" t="n">
        <v>92</v>
      </c>
      <c r="I65" s="2" t="n">
        <v>0</v>
      </c>
      <c r="J65" s="2" t="n">
        <v>1</v>
      </c>
      <c r="K65" s="2" t="n">
        <v>2</v>
      </c>
      <c r="L65" s="2" t="n">
        <v>0</v>
      </c>
      <c r="M65" s="2" t="n">
        <v>3</v>
      </c>
      <c r="N65" s="2" t="n">
        <v>34</v>
      </c>
      <c r="O65" s="2" t="n">
        <v>14</v>
      </c>
      <c r="P65" s="2" t="n">
        <v>4</v>
      </c>
      <c r="Q65" s="2" t="n">
        <v>5</v>
      </c>
      <c r="R65" s="2" t="n">
        <v>5</v>
      </c>
      <c r="S65" s="2" t="n">
        <v>6</v>
      </c>
      <c r="T65" s="2" t="str">
        <f aca="false">IF(F65="","No","Yes")</f>
        <v>No</v>
      </c>
    </row>
    <row r="66" customFormat="false" ht="15" hidden="false" customHeight="false" outlineLevel="0" collapsed="false">
      <c r="A66" s="2" t="s">
        <v>273</v>
      </c>
      <c r="B66" s="2" t="s">
        <v>65</v>
      </c>
      <c r="C66" s="2" t="s">
        <v>191</v>
      </c>
      <c r="D66" s="2" t="s">
        <v>189</v>
      </c>
      <c r="E66" s="27" t="n">
        <v>175839.86</v>
      </c>
      <c r="F66" s="2"/>
      <c r="G66" s="2" t="s">
        <v>39</v>
      </c>
      <c r="H66" s="2" t="n">
        <v>100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2</v>
      </c>
      <c r="N66" s="2" t="n">
        <v>31</v>
      </c>
      <c r="O66" s="2" t="n">
        <v>16</v>
      </c>
      <c r="P66" s="2" t="n">
        <v>1</v>
      </c>
      <c r="Q66" s="2" t="n">
        <v>8</v>
      </c>
      <c r="R66" s="2" t="n">
        <v>4</v>
      </c>
      <c r="S66" s="2" t="n">
        <v>2</v>
      </c>
      <c r="T66" s="2" t="str">
        <f aca="false">IF(F66="","No","Yes")</f>
        <v>No</v>
      </c>
    </row>
    <row r="67" customFormat="false" ht="15" hidden="false" customHeight="false" outlineLevel="0" collapsed="false">
      <c r="A67" s="2" t="s">
        <v>274</v>
      </c>
      <c r="B67" s="2" t="s">
        <v>67</v>
      </c>
      <c r="C67" s="2" t="s">
        <v>182</v>
      </c>
      <c r="D67" s="2" t="s">
        <v>180</v>
      </c>
      <c r="E67" s="27" t="n">
        <v>23545.04</v>
      </c>
      <c r="F67" s="2" t="s">
        <v>204</v>
      </c>
      <c r="G67" s="2" t="s">
        <v>40</v>
      </c>
      <c r="H67" s="2" t="n">
        <v>88</v>
      </c>
      <c r="I67" s="2" t="n">
        <v>0</v>
      </c>
      <c r="J67" s="2" t="n">
        <v>2</v>
      </c>
      <c r="K67" s="2" t="n">
        <v>1</v>
      </c>
      <c r="L67" s="2" t="n">
        <v>0</v>
      </c>
      <c r="M67" s="2" t="n">
        <v>2</v>
      </c>
      <c r="N67" s="2" t="n">
        <v>30</v>
      </c>
      <c r="O67" s="2" t="n">
        <v>15</v>
      </c>
      <c r="P67" s="2" t="n">
        <v>2</v>
      </c>
      <c r="Q67" s="2" t="n">
        <v>6</v>
      </c>
      <c r="R67" s="2" t="n">
        <v>5</v>
      </c>
      <c r="S67" s="2" t="n">
        <v>2</v>
      </c>
      <c r="T67" s="2" t="str">
        <f aca="false">IF(F67="","No","Yes")</f>
        <v>Yes</v>
      </c>
    </row>
    <row r="68" customFormat="false" ht="15" hidden="false" customHeight="false" outlineLevel="0" collapsed="false">
      <c r="A68" s="2" t="s">
        <v>275</v>
      </c>
      <c r="B68" s="2" t="s">
        <v>61</v>
      </c>
      <c r="C68" s="2" t="s">
        <v>184</v>
      </c>
      <c r="D68" s="2" t="s">
        <v>180</v>
      </c>
      <c r="E68" s="27" t="n">
        <v>1926.27</v>
      </c>
      <c r="F68" s="2" t="s">
        <v>186</v>
      </c>
      <c r="G68" s="2" t="s">
        <v>41</v>
      </c>
      <c r="H68" s="2" t="n">
        <v>70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v>2</v>
      </c>
      <c r="N68" s="2" t="n">
        <v>28</v>
      </c>
      <c r="O68" s="2" t="n">
        <v>14</v>
      </c>
      <c r="P68" s="2" t="n">
        <v>1</v>
      </c>
      <c r="Q68" s="2" t="n">
        <v>7</v>
      </c>
      <c r="R68" s="2" t="n">
        <v>4</v>
      </c>
      <c r="S68" s="2" t="n">
        <v>2</v>
      </c>
      <c r="T68" s="2" t="str">
        <f aca="false">IF(F68="","No","Yes")</f>
        <v>Yes</v>
      </c>
    </row>
    <row r="69" customFormat="false" ht="15" hidden="false" customHeight="false" outlineLevel="0" collapsed="false">
      <c r="A69" s="2" t="s">
        <v>276</v>
      </c>
      <c r="B69" s="2" t="s">
        <v>61</v>
      </c>
      <c r="C69" s="2" t="s">
        <v>184</v>
      </c>
      <c r="D69" s="2" t="s">
        <v>180</v>
      </c>
      <c r="E69" s="27" t="n">
        <v>883.72</v>
      </c>
      <c r="F69" s="2" t="s">
        <v>277</v>
      </c>
      <c r="G69" s="2" t="s">
        <v>40</v>
      </c>
      <c r="H69" s="2" t="n">
        <v>92</v>
      </c>
      <c r="I69" s="2" t="n">
        <v>0</v>
      </c>
      <c r="J69" s="2" t="n">
        <v>1</v>
      </c>
      <c r="K69" s="2" t="n">
        <v>2</v>
      </c>
      <c r="L69" s="2" t="n">
        <v>0</v>
      </c>
      <c r="M69" s="2" t="n">
        <v>1</v>
      </c>
      <c r="N69" s="2" t="n">
        <v>26</v>
      </c>
      <c r="O69" s="2" t="n">
        <v>13</v>
      </c>
      <c r="P69" s="2" t="n">
        <v>1</v>
      </c>
      <c r="Q69" s="2" t="n">
        <v>3</v>
      </c>
      <c r="R69" s="2" t="n">
        <v>6</v>
      </c>
      <c r="S69" s="2" t="n">
        <v>3</v>
      </c>
      <c r="T69" s="2" t="str">
        <f aca="false">IF(F69="","No","Yes")</f>
        <v>Yes</v>
      </c>
    </row>
    <row r="70" customFormat="false" ht="15" hidden="false" customHeight="false" outlineLevel="0" collapsed="false">
      <c r="A70" s="2" t="s">
        <v>278</v>
      </c>
      <c r="B70" s="2" t="s">
        <v>61</v>
      </c>
      <c r="C70" s="2" t="s">
        <v>184</v>
      </c>
      <c r="D70" s="2" t="s">
        <v>180</v>
      </c>
      <c r="E70" s="27" t="n">
        <v>3813.42</v>
      </c>
      <c r="F70" s="2"/>
      <c r="G70" s="2" t="s">
        <v>39</v>
      </c>
      <c r="H70" s="2" t="n">
        <v>96</v>
      </c>
      <c r="I70" s="2" t="n">
        <v>0</v>
      </c>
      <c r="J70" s="2" t="n">
        <v>0</v>
      </c>
      <c r="K70" s="2" t="n">
        <v>2</v>
      </c>
      <c r="L70" s="2" t="n">
        <v>0</v>
      </c>
      <c r="M70" s="2" t="n">
        <v>2</v>
      </c>
      <c r="N70" s="2" t="n">
        <v>28</v>
      </c>
      <c r="O70" s="2" t="n">
        <v>12</v>
      </c>
      <c r="P70" s="2" t="n">
        <v>1</v>
      </c>
      <c r="Q70" s="2" t="n">
        <v>5</v>
      </c>
      <c r="R70" s="2" t="n">
        <v>6</v>
      </c>
      <c r="S70" s="2" t="n">
        <v>4</v>
      </c>
      <c r="T70" s="2" t="str">
        <f aca="false">IF(F70="","No","Yes")</f>
        <v>No</v>
      </c>
    </row>
    <row r="71" customFormat="false" ht="15" hidden="false" customHeight="false" outlineLevel="0" collapsed="false">
      <c r="A71" s="2" t="s">
        <v>279</v>
      </c>
      <c r="B71" s="2" t="s">
        <v>63</v>
      </c>
      <c r="C71" s="2" t="s">
        <v>188</v>
      </c>
      <c r="D71" s="2" t="s">
        <v>189</v>
      </c>
      <c r="E71" s="27" t="n">
        <v>63334.73</v>
      </c>
      <c r="F71" s="2"/>
      <c r="G71" s="2" t="s">
        <v>39</v>
      </c>
      <c r="H71" s="2" t="n">
        <v>98</v>
      </c>
      <c r="I71" s="2" t="n">
        <v>0</v>
      </c>
      <c r="J71" s="2" t="n">
        <v>0</v>
      </c>
      <c r="K71" s="2" t="n">
        <v>1</v>
      </c>
      <c r="L71" s="2" t="n">
        <v>0</v>
      </c>
      <c r="M71" s="2" t="n">
        <v>3</v>
      </c>
      <c r="N71" s="2" t="n">
        <v>32</v>
      </c>
      <c r="O71" s="2" t="n">
        <v>13</v>
      </c>
      <c r="P71" s="2" t="n">
        <v>3</v>
      </c>
      <c r="Q71" s="2" t="n">
        <v>10</v>
      </c>
      <c r="R71" s="2" t="n">
        <v>5</v>
      </c>
      <c r="S71" s="2" t="n">
        <v>1</v>
      </c>
      <c r="T71" s="2" t="str">
        <f aca="false">IF(F71="","No","Yes")</f>
        <v>No</v>
      </c>
    </row>
    <row r="72" customFormat="false" ht="15" hidden="false" customHeight="false" outlineLevel="0" collapsed="false">
      <c r="A72" s="2" t="s">
        <v>280</v>
      </c>
      <c r="B72" s="2" t="s">
        <v>67</v>
      </c>
      <c r="C72" s="2" t="s">
        <v>199</v>
      </c>
      <c r="D72" s="2" t="s">
        <v>178</v>
      </c>
      <c r="E72" s="27" t="n">
        <v>1351.68</v>
      </c>
      <c r="F72" s="2" t="s">
        <v>224</v>
      </c>
      <c r="G72" s="2" t="s">
        <v>40</v>
      </c>
      <c r="H72" s="2" t="n">
        <v>86</v>
      </c>
      <c r="I72" s="2" t="n">
        <v>0</v>
      </c>
      <c r="J72" s="2" t="n">
        <v>2</v>
      </c>
      <c r="K72" s="2" t="n">
        <v>2</v>
      </c>
      <c r="L72" s="2" t="n">
        <v>1</v>
      </c>
      <c r="M72" s="2" t="n">
        <v>2</v>
      </c>
      <c r="N72" s="2" t="n">
        <v>28</v>
      </c>
      <c r="O72" s="2" t="n">
        <v>15</v>
      </c>
      <c r="P72" s="2" t="n">
        <v>1</v>
      </c>
      <c r="Q72" s="2" t="n">
        <v>2</v>
      </c>
      <c r="R72" s="2" t="n">
        <v>6</v>
      </c>
      <c r="S72" s="2" t="n">
        <v>4</v>
      </c>
      <c r="T72" s="2" t="str">
        <f aca="false">IF(F72="","No","Yes")</f>
        <v>Yes</v>
      </c>
    </row>
    <row r="73" customFormat="false" ht="15" hidden="false" customHeight="false" outlineLevel="0" collapsed="false">
      <c r="A73" s="2" t="s">
        <v>281</v>
      </c>
      <c r="B73" s="2" t="s">
        <v>65</v>
      </c>
      <c r="C73" s="2" t="s">
        <v>241</v>
      </c>
      <c r="D73" s="2" t="s">
        <v>180</v>
      </c>
      <c r="E73" s="27" t="n">
        <v>187790.91</v>
      </c>
      <c r="F73" s="2" t="s">
        <v>277</v>
      </c>
      <c r="G73" s="2" t="s">
        <v>40</v>
      </c>
      <c r="H73" s="2" t="n">
        <v>90</v>
      </c>
      <c r="I73" s="2" t="n">
        <v>0</v>
      </c>
      <c r="J73" s="2" t="n">
        <v>1</v>
      </c>
      <c r="K73" s="2" t="n">
        <v>3</v>
      </c>
      <c r="L73" s="2" t="n">
        <v>0</v>
      </c>
      <c r="M73" s="2" t="n">
        <v>1</v>
      </c>
      <c r="N73" s="2" t="n">
        <v>28</v>
      </c>
      <c r="O73" s="2" t="n">
        <v>12</v>
      </c>
      <c r="P73" s="2" t="n">
        <v>2</v>
      </c>
      <c r="Q73" s="2" t="n">
        <v>6</v>
      </c>
      <c r="R73" s="2" t="n">
        <v>6</v>
      </c>
      <c r="S73" s="2" t="n">
        <v>2</v>
      </c>
      <c r="T73" s="2" t="str">
        <f aca="false">IF(F73="","No","Yes")</f>
        <v>Yes</v>
      </c>
    </row>
    <row r="74" customFormat="false" ht="15" hidden="false" customHeight="false" outlineLevel="0" collapsed="false">
      <c r="A74" s="2" t="s">
        <v>282</v>
      </c>
      <c r="B74" s="2" t="s">
        <v>61</v>
      </c>
      <c r="C74" s="2" t="s">
        <v>219</v>
      </c>
      <c r="D74" s="2" t="s">
        <v>220</v>
      </c>
      <c r="E74" s="27" t="n">
        <v>3059.19</v>
      </c>
      <c r="F74" s="2"/>
      <c r="G74" s="2" t="s">
        <v>40</v>
      </c>
      <c r="H74" s="2" t="n">
        <v>90</v>
      </c>
      <c r="I74" s="2" t="n">
        <v>0</v>
      </c>
      <c r="J74" s="2" t="n">
        <v>1</v>
      </c>
      <c r="K74" s="2" t="n">
        <v>3</v>
      </c>
      <c r="L74" s="2" t="n">
        <v>0</v>
      </c>
      <c r="M74" s="2" t="n">
        <v>3</v>
      </c>
      <c r="N74" s="2" t="n">
        <v>32</v>
      </c>
      <c r="O74" s="2" t="n">
        <v>13</v>
      </c>
      <c r="P74" s="2" t="n">
        <v>2</v>
      </c>
      <c r="Q74" s="2" t="n">
        <v>5</v>
      </c>
      <c r="R74" s="2" t="n">
        <v>7</v>
      </c>
      <c r="S74" s="2" t="n">
        <v>5</v>
      </c>
      <c r="T74" s="2" t="str">
        <f aca="false">IF(F74="","No","Yes")</f>
        <v>No</v>
      </c>
    </row>
    <row r="75" customFormat="false" ht="15" hidden="false" customHeight="false" outlineLevel="0" collapsed="false">
      <c r="A75" s="2" t="s">
        <v>283</v>
      </c>
      <c r="B75" s="2" t="s">
        <v>67</v>
      </c>
      <c r="C75" s="2" t="s">
        <v>182</v>
      </c>
      <c r="D75" s="2" t="s">
        <v>174</v>
      </c>
      <c r="E75" s="27" t="n">
        <v>649470.5</v>
      </c>
      <c r="F75" s="2" t="s">
        <v>175</v>
      </c>
      <c r="G75" s="2" t="s">
        <v>41</v>
      </c>
      <c r="H75" s="2" t="n">
        <v>60</v>
      </c>
      <c r="I75" s="2" t="n">
        <v>1</v>
      </c>
      <c r="J75" s="2" t="n">
        <v>1</v>
      </c>
      <c r="K75" s="2" t="n">
        <v>3</v>
      </c>
      <c r="L75" s="2" t="n">
        <v>0</v>
      </c>
      <c r="M75" s="2" t="n">
        <v>3</v>
      </c>
      <c r="N75" s="2" t="n">
        <v>35</v>
      </c>
      <c r="O75" s="2" t="n">
        <v>11</v>
      </c>
      <c r="P75" s="2" t="n">
        <v>5</v>
      </c>
      <c r="Q75" s="2" t="n">
        <v>9</v>
      </c>
      <c r="R75" s="2" t="n">
        <v>6</v>
      </c>
      <c r="S75" s="2" t="n">
        <v>4</v>
      </c>
      <c r="T75" s="2" t="str">
        <f aca="false">IF(F75="","No","Yes")</f>
        <v>Yes</v>
      </c>
    </row>
    <row r="76" customFormat="false" ht="15" hidden="false" customHeight="false" outlineLevel="0" collapsed="false">
      <c r="A76" s="2" t="s">
        <v>284</v>
      </c>
      <c r="B76" s="2" t="s">
        <v>63</v>
      </c>
      <c r="C76" s="2" t="s">
        <v>188</v>
      </c>
      <c r="D76" s="2" t="s">
        <v>189</v>
      </c>
      <c r="E76" s="27" t="n">
        <v>10017.82</v>
      </c>
      <c r="F76" s="2"/>
      <c r="G76" s="2" t="s">
        <v>39</v>
      </c>
      <c r="H76" s="2" t="n">
        <v>98</v>
      </c>
      <c r="I76" s="2" t="n">
        <v>0</v>
      </c>
      <c r="J76" s="2" t="n">
        <v>0</v>
      </c>
      <c r="K76" s="2" t="n">
        <v>1</v>
      </c>
      <c r="L76" s="2" t="n">
        <v>0</v>
      </c>
      <c r="M76" s="2" t="n">
        <v>3</v>
      </c>
      <c r="N76" s="2" t="n">
        <v>32</v>
      </c>
      <c r="O76" s="2" t="n">
        <v>14</v>
      </c>
      <c r="P76" s="2" t="n">
        <v>3</v>
      </c>
      <c r="Q76" s="2" t="n">
        <v>8</v>
      </c>
      <c r="R76" s="2" t="n">
        <v>5</v>
      </c>
      <c r="S76" s="2" t="n">
        <v>2</v>
      </c>
      <c r="T76" s="2" t="str">
        <f aca="false">IF(F76="","No","Yes")</f>
        <v>No</v>
      </c>
    </row>
    <row r="77" customFormat="false" ht="15" hidden="false" customHeight="false" outlineLevel="0" collapsed="false">
      <c r="A77" s="2" t="s">
        <v>285</v>
      </c>
      <c r="B77" s="2" t="s">
        <v>65</v>
      </c>
      <c r="C77" s="2" t="s">
        <v>241</v>
      </c>
      <c r="D77" s="2" t="s">
        <v>180</v>
      </c>
      <c r="E77" s="27" t="n">
        <v>72507.87</v>
      </c>
      <c r="F77" s="2"/>
      <c r="G77" s="2" t="s">
        <v>39</v>
      </c>
      <c r="H77" s="2" t="n">
        <v>96</v>
      </c>
      <c r="I77" s="2" t="n">
        <v>0</v>
      </c>
      <c r="J77" s="2" t="n">
        <v>0</v>
      </c>
      <c r="K77" s="2" t="n">
        <v>2</v>
      </c>
      <c r="L77" s="2" t="n">
        <v>0</v>
      </c>
      <c r="M77" s="2" t="n">
        <v>2</v>
      </c>
      <c r="N77" s="2" t="n">
        <v>33</v>
      </c>
      <c r="O77" s="2" t="n">
        <v>14</v>
      </c>
      <c r="P77" s="2" t="n">
        <v>2</v>
      </c>
      <c r="Q77" s="2" t="n">
        <v>7</v>
      </c>
      <c r="R77" s="2" t="n">
        <v>6</v>
      </c>
      <c r="S77" s="2" t="n">
        <v>4</v>
      </c>
      <c r="T77" s="2" t="str">
        <f aca="false">IF(F77="","No","Yes")</f>
        <v>No</v>
      </c>
    </row>
    <row r="78" customFormat="false" ht="15" hidden="false" customHeight="false" outlineLevel="0" collapsed="false">
      <c r="A78" s="2" t="s">
        <v>286</v>
      </c>
      <c r="B78" s="2" t="s">
        <v>61</v>
      </c>
      <c r="C78" s="2" t="s">
        <v>177</v>
      </c>
      <c r="D78" s="2" t="s">
        <v>178</v>
      </c>
      <c r="E78" s="27" t="n">
        <v>697.16</v>
      </c>
      <c r="F78" s="2" t="s">
        <v>197</v>
      </c>
      <c r="G78" s="2" t="s">
        <v>41</v>
      </c>
      <c r="H78" s="2" t="n">
        <v>66</v>
      </c>
      <c r="I78" s="2" t="n">
        <v>1</v>
      </c>
      <c r="J78" s="2" t="n">
        <v>0</v>
      </c>
      <c r="K78" s="2" t="n">
        <v>2</v>
      </c>
      <c r="L78" s="2" t="n">
        <v>0</v>
      </c>
      <c r="M78" s="2" t="n">
        <v>1</v>
      </c>
      <c r="N78" s="2" t="n">
        <v>26</v>
      </c>
      <c r="O78" s="2" t="n">
        <v>12</v>
      </c>
      <c r="P78" s="2" t="n">
        <v>2</v>
      </c>
      <c r="Q78" s="2" t="n">
        <v>2</v>
      </c>
      <c r="R78" s="2" t="n">
        <v>6</v>
      </c>
      <c r="S78" s="2" t="n">
        <v>4</v>
      </c>
      <c r="T78" s="2" t="str">
        <f aca="false">IF(F78="","No","Yes")</f>
        <v>Yes</v>
      </c>
    </row>
    <row r="79" customFormat="false" ht="15" hidden="false" customHeight="false" outlineLevel="0" collapsed="false">
      <c r="A79" s="2" t="s">
        <v>287</v>
      </c>
      <c r="B79" s="2" t="s">
        <v>61</v>
      </c>
      <c r="C79" s="2" t="s">
        <v>182</v>
      </c>
      <c r="D79" s="2" t="s">
        <v>180</v>
      </c>
      <c r="E79" s="27" t="n">
        <v>3364.25</v>
      </c>
      <c r="F79" s="2" t="s">
        <v>186</v>
      </c>
      <c r="G79" s="2" t="s">
        <v>41</v>
      </c>
      <c r="H79" s="2" t="n">
        <v>68</v>
      </c>
      <c r="I79" s="2" t="n">
        <v>1</v>
      </c>
      <c r="J79" s="2" t="n">
        <v>0</v>
      </c>
      <c r="K79" s="2" t="n">
        <v>1</v>
      </c>
      <c r="L79" s="2" t="n">
        <v>0</v>
      </c>
      <c r="M79" s="2" t="n">
        <v>2</v>
      </c>
      <c r="N79" s="2" t="n">
        <v>31</v>
      </c>
      <c r="O79" s="2" t="n">
        <v>15</v>
      </c>
      <c r="P79" s="2" t="n">
        <v>1</v>
      </c>
      <c r="Q79" s="2" t="n">
        <v>8</v>
      </c>
      <c r="R79" s="2" t="n">
        <v>5</v>
      </c>
      <c r="S79" s="2" t="n">
        <v>2</v>
      </c>
      <c r="T79" s="2" t="str">
        <f aca="false">IF(F79="","No","Yes")</f>
        <v>Yes</v>
      </c>
    </row>
    <row r="80" customFormat="false" ht="15" hidden="false" customHeight="false" outlineLevel="0" collapsed="false">
      <c r="A80" s="2" t="s">
        <v>288</v>
      </c>
      <c r="B80" s="2" t="s">
        <v>65</v>
      </c>
      <c r="C80" s="2" t="s">
        <v>241</v>
      </c>
      <c r="D80" s="2" t="s">
        <v>180</v>
      </c>
      <c r="E80" s="27" t="n">
        <v>92662.24</v>
      </c>
      <c r="F80" s="2" t="s">
        <v>260</v>
      </c>
      <c r="G80" s="2" t="s">
        <v>42</v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str">
        <f aca="false">IF(F80="","No","Yes")</f>
        <v>Yes</v>
      </c>
    </row>
    <row r="81" customFormat="false" ht="15" hidden="false" customHeight="false" outlineLevel="0" collapsed="false">
      <c r="A81" s="2" t="s">
        <v>289</v>
      </c>
      <c r="B81" s="2" t="s">
        <v>67</v>
      </c>
      <c r="C81" s="2" t="s">
        <v>199</v>
      </c>
      <c r="D81" s="2" t="s">
        <v>178</v>
      </c>
      <c r="E81" s="27" t="n">
        <v>33208.9</v>
      </c>
      <c r="F81" s="2"/>
      <c r="G81" s="2" t="s">
        <v>39</v>
      </c>
      <c r="H81" s="2" t="n">
        <v>96</v>
      </c>
      <c r="I81" s="2" t="n">
        <v>0</v>
      </c>
      <c r="J81" s="2" t="n">
        <v>0</v>
      </c>
      <c r="K81" s="2" t="n">
        <v>2</v>
      </c>
      <c r="L81" s="2" t="n">
        <v>0</v>
      </c>
      <c r="M81" s="2" t="n">
        <v>3</v>
      </c>
      <c r="N81" s="2" t="n">
        <v>30</v>
      </c>
      <c r="O81" s="2" t="n">
        <v>12</v>
      </c>
      <c r="P81" s="2" t="n">
        <v>3</v>
      </c>
      <c r="Q81" s="2" t="n">
        <v>7</v>
      </c>
      <c r="R81" s="2" t="n">
        <v>6</v>
      </c>
      <c r="S81" s="2" t="n">
        <v>2</v>
      </c>
      <c r="T81" s="2" t="str">
        <f aca="false">IF(F81="","No","Yes")</f>
        <v>No</v>
      </c>
    </row>
    <row r="82" customFormat="false" ht="15" hidden="false" customHeight="false" outlineLevel="0" collapsed="false">
      <c r="A82" s="2" t="s">
        <v>290</v>
      </c>
      <c r="B82" s="2" t="s">
        <v>61</v>
      </c>
      <c r="C82" s="2" t="s">
        <v>182</v>
      </c>
      <c r="D82" s="2" t="s">
        <v>180</v>
      </c>
      <c r="E82" s="27" t="n">
        <v>2465.54</v>
      </c>
      <c r="F82" s="2"/>
      <c r="G82" s="2" t="s">
        <v>39</v>
      </c>
      <c r="H82" s="2" t="n">
        <v>100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3</v>
      </c>
      <c r="N82" s="2" t="n">
        <v>30</v>
      </c>
      <c r="O82" s="2" t="n">
        <v>14</v>
      </c>
      <c r="P82" s="2" t="n">
        <v>2</v>
      </c>
      <c r="Q82" s="2" t="n">
        <v>8</v>
      </c>
      <c r="R82" s="2" t="n">
        <v>4</v>
      </c>
      <c r="S82" s="2" t="n">
        <v>2</v>
      </c>
      <c r="T82" s="2" t="str">
        <f aca="false">IF(F82="","No","Yes")</f>
        <v>No</v>
      </c>
    </row>
    <row r="83" customFormat="false" ht="15" hidden="false" customHeight="false" outlineLevel="0" collapsed="false">
      <c r="A83" s="2" t="s">
        <v>291</v>
      </c>
      <c r="B83" s="2" t="s">
        <v>65</v>
      </c>
      <c r="C83" s="2" t="s">
        <v>191</v>
      </c>
      <c r="D83" s="2" t="s">
        <v>189</v>
      </c>
      <c r="E83" s="27" t="n">
        <v>232786.35</v>
      </c>
      <c r="F83" s="2"/>
      <c r="G83" s="2" t="s">
        <v>39</v>
      </c>
      <c r="H83" s="2" t="n">
        <v>98</v>
      </c>
      <c r="I83" s="2" t="n">
        <v>0</v>
      </c>
      <c r="J83" s="2" t="n">
        <v>0</v>
      </c>
      <c r="K83" s="2" t="n">
        <v>1</v>
      </c>
      <c r="L83" s="2" t="n">
        <v>0</v>
      </c>
      <c r="M83" s="2" t="n">
        <v>3</v>
      </c>
      <c r="N83" s="2" t="n">
        <v>34</v>
      </c>
      <c r="O83" s="2" t="n">
        <v>16</v>
      </c>
      <c r="P83" s="2" t="n">
        <v>4</v>
      </c>
      <c r="Q83" s="2" t="n">
        <v>7</v>
      </c>
      <c r="R83" s="2" t="n">
        <v>4</v>
      </c>
      <c r="S83" s="2" t="n">
        <v>3</v>
      </c>
      <c r="T83" s="2" t="str">
        <f aca="false">IF(F83="","No","Yes")</f>
        <v>No</v>
      </c>
    </row>
    <row r="84" customFormat="false" ht="15" hidden="false" customHeight="false" outlineLevel="0" collapsed="false">
      <c r="A84" s="2" t="s">
        <v>292</v>
      </c>
      <c r="B84" s="2" t="s">
        <v>61</v>
      </c>
      <c r="C84" s="2" t="s">
        <v>184</v>
      </c>
      <c r="D84" s="2" t="s">
        <v>180</v>
      </c>
      <c r="E84" s="27" t="n">
        <v>2532.02</v>
      </c>
      <c r="F84" s="2" t="s">
        <v>202</v>
      </c>
      <c r="G84" s="2" t="s">
        <v>42</v>
      </c>
      <c r="H84" s="2" t="n">
        <v>0</v>
      </c>
      <c r="I84" s="2" t="n">
        <v>1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str">
        <f aca="false">IF(F84="","No","Yes")</f>
        <v>Yes</v>
      </c>
    </row>
    <row r="85" customFormat="false" ht="15" hidden="false" customHeight="false" outlineLevel="0" collapsed="false">
      <c r="A85" s="2" t="s">
        <v>293</v>
      </c>
      <c r="B85" s="2" t="s">
        <v>63</v>
      </c>
      <c r="C85" s="2" t="s">
        <v>182</v>
      </c>
      <c r="D85" s="2" t="s">
        <v>180</v>
      </c>
      <c r="E85" s="27" t="n">
        <v>208331.21</v>
      </c>
      <c r="F85" s="2"/>
      <c r="G85" s="2" t="s">
        <v>39</v>
      </c>
      <c r="H85" s="2" t="n">
        <v>98</v>
      </c>
      <c r="I85" s="2" t="n">
        <v>0</v>
      </c>
      <c r="J85" s="2" t="n">
        <v>0</v>
      </c>
      <c r="K85" s="2" t="n">
        <v>1</v>
      </c>
      <c r="L85" s="2" t="n">
        <v>0</v>
      </c>
      <c r="M85" s="2" t="n">
        <v>2</v>
      </c>
      <c r="N85" s="2" t="n">
        <v>32</v>
      </c>
      <c r="O85" s="2" t="n">
        <v>15</v>
      </c>
      <c r="P85" s="2" t="n">
        <v>1</v>
      </c>
      <c r="Q85" s="2" t="n">
        <v>9</v>
      </c>
      <c r="R85" s="2" t="n">
        <v>5</v>
      </c>
      <c r="S85" s="2" t="n">
        <v>2</v>
      </c>
      <c r="T85" s="2" t="str">
        <f aca="false">IF(F85="","No","Yes")</f>
        <v>No</v>
      </c>
    </row>
    <row r="86" customFormat="false" ht="15" hidden="false" customHeight="false" outlineLevel="0" collapsed="false">
      <c r="A86" s="2" t="s">
        <v>294</v>
      </c>
      <c r="B86" s="2" t="s">
        <v>63</v>
      </c>
      <c r="C86" s="2" t="s">
        <v>182</v>
      </c>
      <c r="D86" s="2" t="s">
        <v>180</v>
      </c>
      <c r="E86" s="27" t="n">
        <v>239990.92</v>
      </c>
      <c r="F86" s="2"/>
      <c r="G86" s="2" t="s">
        <v>40</v>
      </c>
      <c r="H86" s="2" t="n">
        <v>94</v>
      </c>
      <c r="I86" s="2" t="n">
        <v>0</v>
      </c>
      <c r="J86" s="2" t="n">
        <v>1</v>
      </c>
      <c r="K86" s="2" t="n">
        <v>1</v>
      </c>
      <c r="L86" s="2" t="n">
        <v>0</v>
      </c>
      <c r="M86" s="2" t="n">
        <v>3</v>
      </c>
      <c r="N86" s="2" t="n">
        <v>34</v>
      </c>
      <c r="O86" s="2" t="n">
        <v>17</v>
      </c>
      <c r="P86" s="2" t="n">
        <v>4</v>
      </c>
      <c r="Q86" s="2" t="n">
        <v>8</v>
      </c>
      <c r="R86" s="2" t="n">
        <v>4</v>
      </c>
      <c r="S86" s="2" t="n">
        <v>1</v>
      </c>
      <c r="T86" s="2" t="str">
        <f aca="false">IF(F86="","No","Yes")</f>
        <v>No</v>
      </c>
    </row>
    <row r="87" customFormat="false" ht="15" hidden="false" customHeight="false" outlineLevel="0" collapsed="false">
      <c r="A87" s="2" t="s">
        <v>295</v>
      </c>
      <c r="B87" s="2" t="s">
        <v>61</v>
      </c>
      <c r="C87" s="2" t="s">
        <v>219</v>
      </c>
      <c r="D87" s="2" t="s">
        <v>220</v>
      </c>
      <c r="E87" s="27" t="n">
        <v>914.76</v>
      </c>
      <c r="F87" s="2"/>
      <c r="G87" s="2" t="s">
        <v>39</v>
      </c>
      <c r="H87" s="2" t="n">
        <v>98</v>
      </c>
      <c r="I87" s="2" t="n">
        <v>0</v>
      </c>
      <c r="J87" s="2" t="n">
        <v>0</v>
      </c>
      <c r="K87" s="2" t="n">
        <v>1</v>
      </c>
      <c r="L87" s="2" t="n">
        <v>0</v>
      </c>
      <c r="M87" s="2" t="n">
        <v>2</v>
      </c>
      <c r="N87" s="2" t="n">
        <v>32</v>
      </c>
      <c r="O87" s="2" t="n">
        <v>15</v>
      </c>
      <c r="P87" s="2" t="n">
        <v>2</v>
      </c>
      <c r="Q87" s="2" t="n">
        <v>8</v>
      </c>
      <c r="R87" s="2" t="n">
        <v>5</v>
      </c>
      <c r="S87" s="2" t="n">
        <v>2</v>
      </c>
      <c r="T87" s="2" t="str">
        <f aca="false">IF(F87="","No","Yes")</f>
        <v>No</v>
      </c>
    </row>
    <row r="88" customFormat="false" ht="15" hidden="false" customHeight="false" outlineLevel="0" collapsed="false">
      <c r="A88" s="2" t="s">
        <v>296</v>
      </c>
      <c r="B88" s="2" t="s">
        <v>61</v>
      </c>
      <c r="C88" s="2" t="s">
        <v>184</v>
      </c>
      <c r="D88" s="2" t="s">
        <v>180</v>
      </c>
      <c r="E88" s="27" t="n">
        <v>2907.6</v>
      </c>
      <c r="F88" s="2"/>
      <c r="G88" s="2" t="s">
        <v>40</v>
      </c>
      <c r="H88" s="2" t="n">
        <v>90</v>
      </c>
      <c r="I88" s="2" t="n">
        <v>0</v>
      </c>
      <c r="J88" s="2" t="n">
        <v>1</v>
      </c>
      <c r="K88" s="2" t="n">
        <v>3</v>
      </c>
      <c r="L88" s="2" t="n">
        <v>0</v>
      </c>
      <c r="M88" s="2" t="n">
        <v>2</v>
      </c>
      <c r="N88" s="2" t="n">
        <v>28</v>
      </c>
      <c r="O88" s="2" t="n">
        <v>13</v>
      </c>
      <c r="P88" s="2" t="n">
        <v>1</v>
      </c>
      <c r="Q88" s="2" t="n">
        <v>4</v>
      </c>
      <c r="R88" s="2" t="n">
        <v>7</v>
      </c>
      <c r="S88" s="2" t="n">
        <v>3</v>
      </c>
      <c r="T88" s="2" t="str">
        <f aca="false">IF(F88="","No","Yes")</f>
        <v>No</v>
      </c>
    </row>
    <row r="89" customFormat="false" ht="15" hidden="false" customHeight="false" outlineLevel="0" collapsed="false">
      <c r="A89" s="2" t="s">
        <v>297</v>
      </c>
      <c r="B89" s="2" t="s">
        <v>61</v>
      </c>
      <c r="C89" s="2" t="s">
        <v>184</v>
      </c>
      <c r="D89" s="2" t="s">
        <v>180</v>
      </c>
      <c r="E89" s="27" t="n">
        <v>1911.78</v>
      </c>
      <c r="F89" s="2" t="s">
        <v>197</v>
      </c>
      <c r="G89" s="2" t="s">
        <v>41</v>
      </c>
      <c r="H89" s="2" t="n">
        <v>66</v>
      </c>
      <c r="I89" s="2" t="n">
        <v>1</v>
      </c>
      <c r="J89" s="2" t="n">
        <v>0</v>
      </c>
      <c r="K89" s="2" t="n">
        <v>2</v>
      </c>
      <c r="L89" s="2" t="n">
        <v>0</v>
      </c>
      <c r="M89" s="2" t="n">
        <v>2</v>
      </c>
      <c r="N89" s="2" t="n">
        <v>27</v>
      </c>
      <c r="O89" s="2" t="n">
        <v>12</v>
      </c>
      <c r="P89" s="2" t="n">
        <v>2</v>
      </c>
      <c r="Q89" s="2" t="n">
        <v>3</v>
      </c>
      <c r="R89" s="2" t="n">
        <v>6</v>
      </c>
      <c r="S89" s="2" t="n">
        <v>4</v>
      </c>
      <c r="T89" s="2" t="str">
        <f aca="false">IF(F89="","No","Yes")</f>
        <v>Yes</v>
      </c>
    </row>
    <row r="90" customFormat="false" ht="15" hidden="false" customHeight="false" outlineLevel="0" collapsed="false">
      <c r="A90" s="2" t="s">
        <v>298</v>
      </c>
      <c r="B90" s="2" t="s">
        <v>65</v>
      </c>
      <c r="C90" s="2" t="s">
        <v>193</v>
      </c>
      <c r="D90" s="2" t="s">
        <v>194</v>
      </c>
      <c r="E90" s="27" t="n">
        <v>241393.89</v>
      </c>
      <c r="F90" s="2" t="s">
        <v>207</v>
      </c>
      <c r="G90" s="2" t="s">
        <v>41</v>
      </c>
      <c r="H90" s="2" t="n">
        <v>68</v>
      </c>
      <c r="I90" s="2" t="n">
        <v>1</v>
      </c>
      <c r="J90" s="2" t="n">
        <v>0</v>
      </c>
      <c r="K90" s="2" t="n">
        <v>1</v>
      </c>
      <c r="L90" s="2" t="n">
        <v>0</v>
      </c>
      <c r="M90" s="2" t="n">
        <v>3</v>
      </c>
      <c r="N90" s="2" t="n">
        <v>30</v>
      </c>
      <c r="O90" s="2" t="n">
        <v>13</v>
      </c>
      <c r="P90" s="2" t="n">
        <v>3</v>
      </c>
      <c r="Q90" s="2" t="n">
        <v>7</v>
      </c>
      <c r="R90" s="2" t="n">
        <v>5</v>
      </c>
      <c r="S90" s="2" t="n">
        <v>2</v>
      </c>
      <c r="T90" s="2" t="str">
        <f aca="false">IF(F90="","No","Yes")</f>
        <v>Yes</v>
      </c>
    </row>
    <row r="91" customFormat="false" ht="15" hidden="false" customHeight="false" outlineLevel="0" collapsed="false">
      <c r="A91" s="2" t="s">
        <v>299</v>
      </c>
      <c r="B91" s="2" t="s">
        <v>63</v>
      </c>
      <c r="C91" s="2" t="s">
        <v>188</v>
      </c>
      <c r="D91" s="2" t="s">
        <v>189</v>
      </c>
      <c r="E91" s="27" t="n">
        <v>242077.34</v>
      </c>
      <c r="F91" s="2"/>
      <c r="G91" s="2" t="s">
        <v>39</v>
      </c>
      <c r="H91" s="2" t="n">
        <v>98</v>
      </c>
      <c r="I91" s="2" t="n">
        <v>0</v>
      </c>
      <c r="J91" s="2" t="n">
        <v>0</v>
      </c>
      <c r="K91" s="2" t="n">
        <v>1</v>
      </c>
      <c r="L91" s="2" t="n">
        <v>0</v>
      </c>
      <c r="M91" s="2" t="n">
        <v>3</v>
      </c>
      <c r="N91" s="2" t="n">
        <v>30</v>
      </c>
      <c r="O91" s="2" t="n">
        <v>13</v>
      </c>
      <c r="P91" s="2" t="n">
        <v>3</v>
      </c>
      <c r="Q91" s="2" t="n">
        <v>7</v>
      </c>
      <c r="R91" s="2" t="n">
        <v>5</v>
      </c>
      <c r="S91" s="2" t="n">
        <v>2</v>
      </c>
      <c r="T91" s="2" t="str">
        <f aca="false">IF(F91="","No","Yes")</f>
        <v>No</v>
      </c>
    </row>
    <row r="92" customFormat="false" ht="15" hidden="false" customHeight="false" outlineLevel="0" collapsed="false">
      <c r="A92" s="2" t="s">
        <v>300</v>
      </c>
      <c r="B92" s="2" t="s">
        <v>65</v>
      </c>
      <c r="C92" s="2" t="s">
        <v>206</v>
      </c>
      <c r="D92" s="2" t="s">
        <v>180</v>
      </c>
      <c r="E92" s="27" t="n">
        <v>119527.26</v>
      </c>
      <c r="F92" s="2" t="s">
        <v>197</v>
      </c>
      <c r="G92" s="2" t="s">
        <v>41</v>
      </c>
      <c r="H92" s="2" t="n">
        <v>64</v>
      </c>
      <c r="I92" s="2" t="n">
        <v>1</v>
      </c>
      <c r="J92" s="2" t="n">
        <v>0</v>
      </c>
      <c r="K92" s="2" t="n">
        <v>3</v>
      </c>
      <c r="L92" s="2" t="n">
        <v>0</v>
      </c>
      <c r="M92" s="2" t="n">
        <v>2</v>
      </c>
      <c r="N92" s="2" t="n">
        <v>33</v>
      </c>
      <c r="O92" s="2" t="n">
        <v>13</v>
      </c>
      <c r="P92" s="2" t="n">
        <v>3</v>
      </c>
      <c r="Q92" s="2" t="n">
        <v>6</v>
      </c>
      <c r="R92" s="2" t="n">
        <v>7</v>
      </c>
      <c r="S92" s="2" t="n">
        <v>4</v>
      </c>
      <c r="T92" s="2" t="str">
        <f aca="false">IF(F92="","No","Yes")</f>
        <v>Yes</v>
      </c>
    </row>
    <row r="93" customFormat="false" ht="15" hidden="false" customHeight="false" outlineLevel="0" collapsed="false">
      <c r="A93" s="2" t="s">
        <v>301</v>
      </c>
      <c r="B93" s="2" t="s">
        <v>61</v>
      </c>
      <c r="C93" s="2" t="s">
        <v>184</v>
      </c>
      <c r="D93" s="2" t="s">
        <v>215</v>
      </c>
      <c r="E93" s="27" t="n">
        <v>4019.89</v>
      </c>
      <c r="F93" s="2" t="s">
        <v>250</v>
      </c>
      <c r="G93" s="2" t="s">
        <v>41</v>
      </c>
      <c r="H93" s="2" t="n">
        <v>32</v>
      </c>
      <c r="I93" s="2" t="n">
        <v>2</v>
      </c>
      <c r="J93" s="2" t="n">
        <v>1</v>
      </c>
      <c r="K93" s="2" t="n">
        <v>2</v>
      </c>
      <c r="L93" s="2" t="n">
        <v>0</v>
      </c>
      <c r="M93" s="2" t="n">
        <v>2</v>
      </c>
      <c r="N93" s="2" t="n">
        <v>27</v>
      </c>
      <c r="O93" s="2" t="n">
        <v>12</v>
      </c>
      <c r="P93" s="2" t="n">
        <v>1</v>
      </c>
      <c r="Q93" s="2" t="n">
        <v>6</v>
      </c>
      <c r="R93" s="2" t="n">
        <v>6</v>
      </c>
      <c r="S93" s="2" t="n">
        <v>2</v>
      </c>
      <c r="T93" s="2" t="str">
        <f aca="false">IF(F93="","No","Yes")</f>
        <v>Yes</v>
      </c>
    </row>
    <row r="94" customFormat="false" ht="15" hidden="false" customHeight="false" outlineLevel="0" collapsed="false">
      <c r="A94" s="2" t="s">
        <v>302</v>
      </c>
      <c r="B94" s="2" t="s">
        <v>65</v>
      </c>
      <c r="C94" s="2" t="s">
        <v>206</v>
      </c>
      <c r="D94" s="2" t="s">
        <v>180</v>
      </c>
      <c r="E94" s="27" t="n">
        <v>36266.21</v>
      </c>
      <c r="F94" s="2"/>
      <c r="G94" s="2" t="s">
        <v>39</v>
      </c>
      <c r="H94" s="2" t="n">
        <v>94</v>
      </c>
      <c r="I94" s="2" t="n">
        <v>0</v>
      </c>
      <c r="J94" s="2" t="n">
        <v>0</v>
      </c>
      <c r="K94" s="2" t="n">
        <v>3</v>
      </c>
      <c r="L94" s="2" t="n">
        <v>0</v>
      </c>
      <c r="M94" s="2" t="n">
        <v>2</v>
      </c>
      <c r="N94" s="2" t="n">
        <v>29</v>
      </c>
      <c r="O94" s="2" t="n">
        <v>15</v>
      </c>
      <c r="P94" s="2" t="n">
        <v>1</v>
      </c>
      <c r="Q94" s="2" t="n">
        <v>4</v>
      </c>
      <c r="R94" s="2" t="n">
        <v>7</v>
      </c>
      <c r="S94" s="2" t="n">
        <v>2</v>
      </c>
      <c r="T94" s="2" t="str">
        <f aca="false">IF(F94="","No","Yes")</f>
        <v>No</v>
      </c>
    </row>
    <row r="95" customFormat="false" ht="15" hidden="false" customHeight="false" outlineLevel="0" collapsed="false">
      <c r="A95" s="2" t="s">
        <v>303</v>
      </c>
      <c r="B95" s="2" t="s">
        <v>61</v>
      </c>
      <c r="C95" s="2" t="s">
        <v>182</v>
      </c>
      <c r="D95" s="2" t="s">
        <v>180</v>
      </c>
      <c r="E95" s="27" t="n">
        <v>263.5</v>
      </c>
      <c r="F95" s="2" t="s">
        <v>213</v>
      </c>
      <c r="G95" s="2" t="s">
        <v>40</v>
      </c>
      <c r="H95" s="2" t="n">
        <v>90</v>
      </c>
      <c r="I95" s="2" t="n">
        <v>0</v>
      </c>
      <c r="J95" s="2" t="n">
        <v>1</v>
      </c>
      <c r="K95" s="2" t="n">
        <v>2</v>
      </c>
      <c r="L95" s="2" t="n">
        <v>0</v>
      </c>
      <c r="M95" s="2" t="n">
        <v>2</v>
      </c>
      <c r="N95" s="2" t="n">
        <v>30</v>
      </c>
      <c r="O95" s="2" t="n">
        <v>12</v>
      </c>
      <c r="P95" s="2" t="n">
        <v>1</v>
      </c>
      <c r="Q95" s="2" t="n">
        <v>8</v>
      </c>
      <c r="R95" s="2" t="n">
        <v>6</v>
      </c>
      <c r="S95" s="2" t="n">
        <v>3</v>
      </c>
      <c r="T95" s="2" t="str">
        <f aca="false">IF(F95="","No","Yes")</f>
        <v>Yes</v>
      </c>
    </row>
    <row r="96" customFormat="false" ht="15" hidden="false" customHeight="false" outlineLevel="0" collapsed="false">
      <c r="A96" s="2" t="s">
        <v>304</v>
      </c>
      <c r="B96" s="2" t="s">
        <v>63</v>
      </c>
      <c r="C96" s="2" t="s">
        <v>173</v>
      </c>
      <c r="D96" s="2" t="s">
        <v>194</v>
      </c>
      <c r="E96" s="27" t="n">
        <v>168464.05</v>
      </c>
      <c r="F96" s="2" t="s">
        <v>222</v>
      </c>
      <c r="G96" s="2" t="s">
        <v>40</v>
      </c>
      <c r="H96" s="2" t="n">
        <v>90</v>
      </c>
      <c r="I96" s="2" t="n">
        <v>0</v>
      </c>
      <c r="J96" s="2" t="n">
        <v>1</v>
      </c>
      <c r="K96" s="2" t="n">
        <v>2</v>
      </c>
      <c r="L96" s="2" t="n">
        <v>1</v>
      </c>
      <c r="M96" s="2" t="n">
        <v>3</v>
      </c>
      <c r="N96" s="2" t="n">
        <v>30</v>
      </c>
      <c r="O96" s="2" t="n">
        <v>12</v>
      </c>
      <c r="P96" s="2" t="n">
        <v>3</v>
      </c>
      <c r="Q96" s="2" t="n">
        <v>5</v>
      </c>
      <c r="R96" s="2" t="n">
        <v>6</v>
      </c>
      <c r="S96" s="2" t="n">
        <v>4</v>
      </c>
      <c r="T96" s="2" t="str">
        <f aca="false">IF(F96="","No","Yes")</f>
        <v>Yes</v>
      </c>
    </row>
    <row r="97" customFormat="false" ht="15" hidden="false" customHeight="false" outlineLevel="0" collapsed="false">
      <c r="A97" s="2" t="s">
        <v>305</v>
      </c>
      <c r="B97" s="2" t="s">
        <v>61</v>
      </c>
      <c r="C97" s="2" t="s">
        <v>177</v>
      </c>
      <c r="D97" s="2" t="s">
        <v>178</v>
      </c>
      <c r="E97" s="27" t="n">
        <v>938.38</v>
      </c>
      <c r="F97" s="2"/>
      <c r="G97" s="2" t="s">
        <v>39</v>
      </c>
      <c r="H97" s="2" t="n">
        <v>98</v>
      </c>
      <c r="I97" s="2" t="n">
        <v>0</v>
      </c>
      <c r="J97" s="2" t="n">
        <v>0</v>
      </c>
      <c r="K97" s="2" t="n">
        <v>1</v>
      </c>
      <c r="L97" s="2" t="n">
        <v>0</v>
      </c>
      <c r="M97" s="2" t="n">
        <v>2</v>
      </c>
      <c r="N97" s="2" t="n">
        <v>31</v>
      </c>
      <c r="O97" s="2" t="n">
        <v>13</v>
      </c>
      <c r="P97" s="2" t="n">
        <v>2</v>
      </c>
      <c r="Q97" s="2" t="n">
        <v>7</v>
      </c>
      <c r="R97" s="2" t="n">
        <v>5</v>
      </c>
      <c r="S97" s="2" t="n">
        <v>4</v>
      </c>
      <c r="T97" s="2" t="str">
        <f aca="false">IF(F97="","No","Yes")</f>
        <v>No</v>
      </c>
    </row>
    <row r="98" customFormat="false" ht="15" hidden="false" customHeight="false" outlineLevel="0" collapsed="false">
      <c r="A98" s="2" t="s">
        <v>306</v>
      </c>
      <c r="B98" s="2" t="s">
        <v>63</v>
      </c>
      <c r="C98" s="2" t="s">
        <v>177</v>
      </c>
      <c r="D98" s="2" t="s">
        <v>180</v>
      </c>
      <c r="E98" s="27" t="n">
        <v>134467.52</v>
      </c>
      <c r="F98" s="2"/>
      <c r="G98" s="2" t="s">
        <v>39</v>
      </c>
      <c r="H98" s="2" t="n">
        <v>96</v>
      </c>
      <c r="I98" s="2" t="n">
        <v>0</v>
      </c>
      <c r="J98" s="2" t="n">
        <v>0</v>
      </c>
      <c r="K98" s="2" t="n">
        <v>2</v>
      </c>
      <c r="L98" s="2" t="n">
        <v>0</v>
      </c>
      <c r="M98" s="2" t="n">
        <v>3</v>
      </c>
      <c r="N98" s="2" t="n">
        <v>33</v>
      </c>
      <c r="O98" s="2" t="n">
        <v>15</v>
      </c>
      <c r="P98" s="2" t="n">
        <v>4</v>
      </c>
      <c r="Q98" s="2" t="n">
        <v>5</v>
      </c>
      <c r="R98" s="2" t="n">
        <v>6</v>
      </c>
      <c r="S98" s="2" t="n">
        <v>3</v>
      </c>
      <c r="T98" s="2" t="str">
        <f aca="false">IF(F98="","No","Yes")</f>
        <v>No</v>
      </c>
    </row>
    <row r="99" customFormat="false" ht="15" hidden="false" customHeight="false" outlineLevel="0" collapsed="false">
      <c r="A99" s="2" t="s">
        <v>307</v>
      </c>
      <c r="B99" s="2" t="s">
        <v>61</v>
      </c>
      <c r="C99" s="2" t="s">
        <v>182</v>
      </c>
      <c r="D99" s="2" t="s">
        <v>180</v>
      </c>
      <c r="E99" s="27" t="n">
        <v>1545.73</v>
      </c>
      <c r="F99" s="2"/>
      <c r="G99" s="2" t="s">
        <v>39</v>
      </c>
      <c r="H99" s="2" t="n">
        <v>96</v>
      </c>
      <c r="I99" s="2" t="n">
        <v>0</v>
      </c>
      <c r="J99" s="2" t="n">
        <v>0</v>
      </c>
      <c r="K99" s="2" t="n">
        <v>2</v>
      </c>
      <c r="L99" s="2" t="n">
        <v>0</v>
      </c>
      <c r="M99" s="2" t="n">
        <v>2</v>
      </c>
      <c r="N99" s="2" t="n">
        <v>29</v>
      </c>
      <c r="O99" s="2" t="n">
        <v>12</v>
      </c>
      <c r="P99" s="2" t="n">
        <v>1</v>
      </c>
      <c r="Q99" s="2" t="n">
        <v>8</v>
      </c>
      <c r="R99" s="2" t="n">
        <v>6</v>
      </c>
      <c r="S99" s="2" t="n">
        <v>2</v>
      </c>
      <c r="T99" s="2" t="str">
        <f aca="false">IF(F99="","No","Yes")</f>
        <v>No</v>
      </c>
    </row>
    <row r="100" customFormat="false" ht="15" hidden="false" customHeight="false" outlineLevel="0" collapsed="false">
      <c r="A100" s="2" t="s">
        <v>308</v>
      </c>
      <c r="B100" s="2" t="s">
        <v>65</v>
      </c>
      <c r="C100" s="2" t="s">
        <v>241</v>
      </c>
      <c r="D100" s="2" t="s">
        <v>180</v>
      </c>
      <c r="E100" s="27" t="n">
        <v>223139.65</v>
      </c>
      <c r="F100" s="2" t="s">
        <v>277</v>
      </c>
      <c r="G100" s="2" t="s">
        <v>40</v>
      </c>
      <c r="H100" s="2" t="n">
        <v>86</v>
      </c>
      <c r="I100" s="2" t="n">
        <v>0</v>
      </c>
      <c r="J100" s="2" t="n">
        <v>2</v>
      </c>
      <c r="K100" s="2" t="n">
        <v>3</v>
      </c>
      <c r="L100" s="2" t="n">
        <v>0</v>
      </c>
      <c r="M100" s="2" t="n">
        <v>1</v>
      </c>
      <c r="N100" s="2" t="n">
        <v>28</v>
      </c>
      <c r="O100" s="2" t="n">
        <v>12</v>
      </c>
      <c r="P100" s="2" t="n">
        <v>1</v>
      </c>
      <c r="Q100" s="2" t="n">
        <v>6</v>
      </c>
      <c r="R100" s="2" t="n">
        <v>7</v>
      </c>
      <c r="S100" s="2" t="n">
        <v>2</v>
      </c>
      <c r="T100" s="2" t="str">
        <f aca="false">IF(F100="","No","Yes")</f>
        <v>Yes</v>
      </c>
    </row>
    <row r="101" customFormat="false" ht="15" hidden="false" customHeight="false" outlineLevel="0" collapsed="false">
      <c r="A101" s="2" t="s">
        <v>309</v>
      </c>
      <c r="B101" s="2" t="s">
        <v>61</v>
      </c>
      <c r="C101" s="2" t="s">
        <v>182</v>
      </c>
      <c r="D101" s="2" t="s">
        <v>180</v>
      </c>
      <c r="E101" s="27" t="n">
        <v>5582</v>
      </c>
      <c r="F101" s="2"/>
      <c r="G101" s="2" t="s">
        <v>39</v>
      </c>
      <c r="H101" s="2" t="n">
        <v>96</v>
      </c>
      <c r="I101" s="2" t="n">
        <v>0</v>
      </c>
      <c r="J101" s="2" t="n">
        <v>0</v>
      </c>
      <c r="K101" s="2" t="n">
        <v>2</v>
      </c>
      <c r="L101" s="2" t="n">
        <v>0</v>
      </c>
      <c r="M101" s="2" t="n">
        <v>2</v>
      </c>
      <c r="N101" s="2" t="n">
        <v>31</v>
      </c>
      <c r="O101" s="2" t="n">
        <v>13</v>
      </c>
      <c r="P101" s="2" t="n">
        <v>1</v>
      </c>
      <c r="Q101" s="2" t="n">
        <v>10</v>
      </c>
      <c r="R101" s="2" t="n">
        <v>6</v>
      </c>
      <c r="S101" s="2" t="n">
        <v>1</v>
      </c>
      <c r="T101" s="2" t="str">
        <f aca="false">IF(F101="","No","Yes")</f>
        <v>No</v>
      </c>
    </row>
  </sheetData>
  <autoFilter ref="A1:T101"/>
  <conditionalFormatting sqref="G2:G101">
    <cfRule type="cellIs" priority="2" operator="equal" aboveAverage="0" equalAverage="0" bottom="0" percent="0" rank="0" text="" dxfId="1">
      <formula>"PASS_CLEAN"</formula>
    </cfRule>
    <cfRule type="cellIs" priority="3" operator="equal" aboveAverage="0" equalAverage="0" bottom="0" percent="0" rank="0" text="" dxfId="9">
      <formula>"PASS_WITH_WARNINGS"</formula>
    </cfRule>
    <cfRule type="cellIs" priority="4" operator="equal" aboveAverage="0" equalAverage="0" bottom="0" percent="0" rank="0" text="" dxfId="0">
      <formula>"FAILED_VALIDATION"</formula>
    </cfRule>
    <cfRule type="cellIs" priority="5" operator="equal" aboveAverage="0" equalAverage="0" bottom="0" percent="0" rank="0" text="" dxfId="10">
      <formula>"REJECTED"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4"/>
    <col collapsed="false" customWidth="true" hidden="false" outlineLevel="0" max="6" min="6" style="0" width="100"/>
  </cols>
  <sheetData>
    <row r="1" customFormat="false" ht="15" hidden="false" customHeight="false" outlineLevel="0" collapsed="false">
      <c r="A1" s="8" t="s">
        <v>155</v>
      </c>
      <c r="B1" s="8" t="s">
        <v>310</v>
      </c>
      <c r="C1" s="8" t="s">
        <v>44</v>
      </c>
      <c r="D1" s="8" t="s">
        <v>311</v>
      </c>
      <c r="E1" s="8" t="s">
        <v>312</v>
      </c>
      <c r="F1" s="8" t="s">
        <v>313</v>
      </c>
    </row>
    <row r="2" customFormat="false" ht="15" hidden="false" customHeight="false" outlineLevel="0" collapsed="false">
      <c r="A2" s="2" t="s">
        <v>172</v>
      </c>
      <c r="B2" s="2" t="s">
        <v>314</v>
      </c>
      <c r="C2" s="2" t="s">
        <v>48</v>
      </c>
      <c r="D2" s="2" t="s">
        <v>315</v>
      </c>
      <c r="E2" s="2" t="s">
        <v>316</v>
      </c>
      <c r="F2" s="2" t="s">
        <v>317</v>
      </c>
    </row>
    <row r="3" customFormat="false" ht="15" hidden="false" customHeight="false" outlineLevel="0" collapsed="false">
      <c r="A3" s="2" t="s">
        <v>172</v>
      </c>
      <c r="B3" s="2" t="s">
        <v>318</v>
      </c>
      <c r="C3" s="2" t="s">
        <v>48</v>
      </c>
      <c r="D3" s="2" t="s">
        <v>319</v>
      </c>
      <c r="E3" s="2" t="s">
        <v>320</v>
      </c>
      <c r="F3" s="2" t="s">
        <v>321</v>
      </c>
    </row>
    <row r="4" customFormat="false" ht="15" hidden="false" customHeight="false" outlineLevel="0" collapsed="false">
      <c r="A4" s="2" t="s">
        <v>172</v>
      </c>
      <c r="B4" s="2" t="s">
        <v>322</v>
      </c>
      <c r="C4" s="2" t="s">
        <v>51</v>
      </c>
      <c r="D4" s="2" t="s">
        <v>323</v>
      </c>
      <c r="E4" s="2" t="s">
        <v>324</v>
      </c>
      <c r="F4" s="2" t="s">
        <v>325</v>
      </c>
    </row>
    <row r="5" customFormat="false" ht="15" hidden="false" customHeight="false" outlineLevel="0" collapsed="false">
      <c r="A5" s="2" t="s">
        <v>172</v>
      </c>
      <c r="B5" s="2" t="s">
        <v>326</v>
      </c>
      <c r="C5" s="2" t="s">
        <v>51</v>
      </c>
      <c r="D5" s="2" t="s">
        <v>319</v>
      </c>
      <c r="E5" s="2" t="s">
        <v>327</v>
      </c>
      <c r="F5" s="2" t="s">
        <v>328</v>
      </c>
    </row>
    <row r="6" customFormat="false" ht="15" hidden="false" customHeight="false" outlineLevel="0" collapsed="false">
      <c r="A6" s="2" t="s">
        <v>172</v>
      </c>
      <c r="B6" s="2" t="s">
        <v>329</v>
      </c>
      <c r="C6" s="2" t="s">
        <v>52</v>
      </c>
      <c r="D6" s="2" t="s">
        <v>319</v>
      </c>
      <c r="E6" s="2" t="s">
        <v>330</v>
      </c>
      <c r="F6" s="2" t="s">
        <v>331</v>
      </c>
    </row>
    <row r="7" customFormat="false" ht="15" hidden="false" customHeight="false" outlineLevel="0" collapsed="false">
      <c r="A7" s="2" t="s">
        <v>172</v>
      </c>
      <c r="B7" s="2" t="s">
        <v>332</v>
      </c>
      <c r="C7" s="2" t="s">
        <v>51</v>
      </c>
      <c r="D7" s="2" t="s">
        <v>319</v>
      </c>
      <c r="E7" s="2" t="s">
        <v>333</v>
      </c>
      <c r="F7" s="2" t="s">
        <v>334</v>
      </c>
    </row>
    <row r="8" customFormat="false" ht="15" hidden="false" customHeight="false" outlineLevel="0" collapsed="false">
      <c r="A8" s="2" t="s">
        <v>172</v>
      </c>
      <c r="B8" s="2" t="s">
        <v>329</v>
      </c>
      <c r="C8" s="2" t="s">
        <v>52</v>
      </c>
      <c r="D8" s="2" t="s">
        <v>319</v>
      </c>
      <c r="E8" s="2" t="s">
        <v>335</v>
      </c>
      <c r="F8" s="2" t="s">
        <v>331</v>
      </c>
    </row>
    <row r="9" customFormat="false" ht="15" hidden="false" customHeight="false" outlineLevel="0" collapsed="false">
      <c r="A9" s="2" t="s">
        <v>172</v>
      </c>
      <c r="B9" s="2" t="s">
        <v>336</v>
      </c>
      <c r="C9" s="2" t="s">
        <v>52</v>
      </c>
      <c r="D9" s="2" t="s">
        <v>319</v>
      </c>
      <c r="E9" s="2" t="s">
        <v>337</v>
      </c>
      <c r="F9" s="2" t="s">
        <v>338</v>
      </c>
    </row>
    <row r="10" customFormat="false" ht="15" hidden="false" customHeight="false" outlineLevel="0" collapsed="false">
      <c r="A10" s="2" t="s">
        <v>176</v>
      </c>
      <c r="B10" s="2" t="s">
        <v>318</v>
      </c>
      <c r="C10" s="2" t="s">
        <v>48</v>
      </c>
      <c r="D10" s="2" t="s">
        <v>319</v>
      </c>
      <c r="E10" s="2" t="s">
        <v>320</v>
      </c>
      <c r="F10" s="2" t="s">
        <v>321</v>
      </c>
    </row>
    <row r="11" customFormat="false" ht="15" hidden="false" customHeight="false" outlineLevel="0" collapsed="false">
      <c r="A11" s="2" t="s">
        <v>176</v>
      </c>
      <c r="B11" s="2" t="s">
        <v>329</v>
      </c>
      <c r="C11" s="2" t="s">
        <v>52</v>
      </c>
      <c r="D11" s="2" t="s">
        <v>319</v>
      </c>
      <c r="E11" s="2" t="s">
        <v>330</v>
      </c>
      <c r="F11" s="2" t="s">
        <v>331</v>
      </c>
    </row>
    <row r="12" customFormat="false" ht="15" hidden="false" customHeight="false" outlineLevel="0" collapsed="false">
      <c r="A12" s="2" t="s">
        <v>176</v>
      </c>
      <c r="B12" s="2" t="s">
        <v>339</v>
      </c>
      <c r="C12" s="2" t="s">
        <v>51</v>
      </c>
      <c r="D12" s="2" t="s">
        <v>319</v>
      </c>
      <c r="E12" s="2" t="s">
        <v>340</v>
      </c>
      <c r="F12" s="2" t="s">
        <v>341</v>
      </c>
    </row>
    <row r="13" customFormat="false" ht="15" hidden="false" customHeight="false" outlineLevel="0" collapsed="false">
      <c r="A13" s="2" t="s">
        <v>176</v>
      </c>
      <c r="B13" s="2" t="s">
        <v>332</v>
      </c>
      <c r="C13" s="2" t="s">
        <v>51</v>
      </c>
      <c r="D13" s="2" t="s">
        <v>319</v>
      </c>
      <c r="E13" s="2" t="s">
        <v>333</v>
      </c>
      <c r="F13" s="2" t="s">
        <v>334</v>
      </c>
    </row>
    <row r="14" customFormat="false" ht="15" hidden="false" customHeight="false" outlineLevel="0" collapsed="false">
      <c r="A14" s="2" t="s">
        <v>176</v>
      </c>
      <c r="B14" s="2" t="s">
        <v>329</v>
      </c>
      <c r="C14" s="2" t="s">
        <v>52</v>
      </c>
      <c r="D14" s="2" t="s">
        <v>319</v>
      </c>
      <c r="E14" s="2" t="s">
        <v>335</v>
      </c>
      <c r="F14" s="2" t="s">
        <v>331</v>
      </c>
    </row>
    <row r="15" customFormat="false" ht="15" hidden="false" customHeight="false" outlineLevel="0" collapsed="false">
      <c r="A15" s="2" t="s">
        <v>179</v>
      </c>
      <c r="B15" s="2" t="s">
        <v>318</v>
      </c>
      <c r="C15" s="2" t="s">
        <v>48</v>
      </c>
      <c r="D15" s="2" t="s">
        <v>319</v>
      </c>
      <c r="E15" s="2" t="s">
        <v>320</v>
      </c>
      <c r="F15" s="2" t="s">
        <v>321</v>
      </c>
    </row>
    <row r="16" customFormat="false" ht="15" hidden="false" customHeight="false" outlineLevel="0" collapsed="false">
      <c r="A16" s="2" t="s">
        <v>179</v>
      </c>
      <c r="B16" s="2" t="s">
        <v>329</v>
      </c>
      <c r="C16" s="2" t="s">
        <v>52</v>
      </c>
      <c r="D16" s="2" t="s">
        <v>319</v>
      </c>
      <c r="E16" s="2" t="s">
        <v>330</v>
      </c>
      <c r="F16" s="2" t="s">
        <v>331</v>
      </c>
    </row>
    <row r="17" customFormat="false" ht="15" hidden="false" customHeight="false" outlineLevel="0" collapsed="false">
      <c r="A17" s="2" t="s">
        <v>179</v>
      </c>
      <c r="B17" s="2" t="s">
        <v>339</v>
      </c>
      <c r="C17" s="2" t="s">
        <v>51</v>
      </c>
      <c r="D17" s="2" t="s">
        <v>319</v>
      </c>
      <c r="E17" s="2" t="s">
        <v>340</v>
      </c>
      <c r="F17" s="2" t="s">
        <v>341</v>
      </c>
    </row>
    <row r="18" customFormat="false" ht="15" hidden="false" customHeight="false" outlineLevel="0" collapsed="false">
      <c r="A18" s="2" t="s">
        <v>179</v>
      </c>
      <c r="B18" s="2" t="s">
        <v>332</v>
      </c>
      <c r="C18" s="2" t="s">
        <v>51</v>
      </c>
      <c r="D18" s="2" t="s">
        <v>319</v>
      </c>
      <c r="E18" s="2" t="s">
        <v>333</v>
      </c>
      <c r="F18" s="2" t="s">
        <v>334</v>
      </c>
    </row>
    <row r="19" customFormat="false" ht="15" hidden="false" customHeight="false" outlineLevel="0" collapsed="false">
      <c r="A19" s="2" t="s">
        <v>179</v>
      </c>
      <c r="B19" s="2" t="s">
        <v>329</v>
      </c>
      <c r="C19" s="2" t="s">
        <v>52</v>
      </c>
      <c r="D19" s="2" t="s">
        <v>319</v>
      </c>
      <c r="E19" s="2" t="s">
        <v>335</v>
      </c>
      <c r="F19" s="2" t="s">
        <v>331</v>
      </c>
    </row>
    <row r="20" customFormat="false" ht="15" hidden="false" customHeight="false" outlineLevel="0" collapsed="false">
      <c r="A20" s="2" t="s">
        <v>179</v>
      </c>
      <c r="B20" s="2" t="s">
        <v>336</v>
      </c>
      <c r="C20" s="2" t="s">
        <v>52</v>
      </c>
      <c r="D20" s="2" t="s">
        <v>319</v>
      </c>
      <c r="E20" s="2" t="s">
        <v>337</v>
      </c>
      <c r="F20" s="2" t="s">
        <v>338</v>
      </c>
    </row>
    <row r="21" customFormat="false" ht="15" hidden="false" customHeight="false" outlineLevel="0" collapsed="false">
      <c r="A21" s="2" t="s">
        <v>181</v>
      </c>
      <c r="B21" s="2" t="s">
        <v>318</v>
      </c>
      <c r="C21" s="2" t="s">
        <v>48</v>
      </c>
      <c r="D21" s="2" t="s">
        <v>319</v>
      </c>
      <c r="E21" s="2" t="s">
        <v>320</v>
      </c>
      <c r="F21" s="2" t="s">
        <v>321</v>
      </c>
    </row>
    <row r="22" customFormat="false" ht="15" hidden="false" customHeight="false" outlineLevel="0" collapsed="false">
      <c r="A22" s="2" t="s">
        <v>181</v>
      </c>
      <c r="B22" s="2" t="s">
        <v>326</v>
      </c>
      <c r="C22" s="2" t="s">
        <v>51</v>
      </c>
      <c r="D22" s="2" t="s">
        <v>319</v>
      </c>
      <c r="E22" s="2" t="s">
        <v>327</v>
      </c>
      <c r="F22" s="2" t="s">
        <v>342</v>
      </c>
    </row>
    <row r="23" customFormat="false" ht="15" hidden="false" customHeight="false" outlineLevel="0" collapsed="false">
      <c r="A23" s="2" t="s">
        <v>181</v>
      </c>
      <c r="B23" s="2" t="s">
        <v>329</v>
      </c>
      <c r="C23" s="2" t="s">
        <v>52</v>
      </c>
      <c r="D23" s="2" t="s">
        <v>319</v>
      </c>
      <c r="E23" s="2" t="s">
        <v>330</v>
      </c>
      <c r="F23" s="2" t="s">
        <v>331</v>
      </c>
    </row>
    <row r="24" customFormat="false" ht="15" hidden="false" customHeight="false" outlineLevel="0" collapsed="false">
      <c r="A24" s="2" t="s">
        <v>181</v>
      </c>
      <c r="B24" s="2" t="s">
        <v>329</v>
      </c>
      <c r="C24" s="2" t="s">
        <v>52</v>
      </c>
      <c r="D24" s="2" t="s">
        <v>319</v>
      </c>
      <c r="E24" s="2" t="s">
        <v>335</v>
      </c>
      <c r="F24" s="2" t="s">
        <v>331</v>
      </c>
    </row>
    <row r="25" customFormat="false" ht="15" hidden="false" customHeight="false" outlineLevel="0" collapsed="false">
      <c r="A25" s="2" t="s">
        <v>183</v>
      </c>
      <c r="B25" s="2" t="s">
        <v>318</v>
      </c>
      <c r="C25" s="2" t="s">
        <v>48</v>
      </c>
      <c r="D25" s="2" t="s">
        <v>319</v>
      </c>
      <c r="E25" s="2" t="s">
        <v>320</v>
      </c>
      <c r="F25" s="2" t="s">
        <v>321</v>
      </c>
    </row>
    <row r="26" customFormat="false" ht="15" hidden="false" customHeight="false" outlineLevel="0" collapsed="false">
      <c r="A26" s="2" t="s">
        <v>183</v>
      </c>
      <c r="B26" s="2" t="s">
        <v>329</v>
      </c>
      <c r="C26" s="2" t="s">
        <v>52</v>
      </c>
      <c r="D26" s="2" t="s">
        <v>319</v>
      </c>
      <c r="E26" s="2" t="s">
        <v>330</v>
      </c>
      <c r="F26" s="2" t="s">
        <v>331</v>
      </c>
    </row>
    <row r="27" customFormat="false" ht="15" hidden="false" customHeight="false" outlineLevel="0" collapsed="false">
      <c r="A27" s="2" t="s">
        <v>183</v>
      </c>
      <c r="B27" s="2" t="s">
        <v>329</v>
      </c>
      <c r="C27" s="2" t="s">
        <v>52</v>
      </c>
      <c r="D27" s="2" t="s">
        <v>319</v>
      </c>
      <c r="E27" s="2" t="s">
        <v>335</v>
      </c>
      <c r="F27" s="2" t="s">
        <v>331</v>
      </c>
    </row>
    <row r="28" customFormat="false" ht="15" hidden="false" customHeight="false" outlineLevel="0" collapsed="false">
      <c r="A28" s="2" t="s">
        <v>183</v>
      </c>
      <c r="B28" s="2" t="s">
        <v>336</v>
      </c>
      <c r="C28" s="2" t="s">
        <v>52</v>
      </c>
      <c r="D28" s="2" t="s">
        <v>319</v>
      </c>
      <c r="E28" s="2" t="s">
        <v>337</v>
      </c>
      <c r="F28" s="2" t="s">
        <v>338</v>
      </c>
    </row>
    <row r="29" customFormat="false" ht="15" hidden="false" customHeight="false" outlineLevel="0" collapsed="false">
      <c r="A29" s="2" t="s">
        <v>185</v>
      </c>
      <c r="B29" s="2" t="s">
        <v>343</v>
      </c>
      <c r="C29" s="2" t="s">
        <v>48</v>
      </c>
      <c r="D29" s="2" t="s">
        <v>315</v>
      </c>
      <c r="E29" s="2" t="s">
        <v>344</v>
      </c>
      <c r="F29" s="2" t="s">
        <v>345</v>
      </c>
    </row>
    <row r="30" customFormat="false" ht="15" hidden="false" customHeight="false" outlineLevel="0" collapsed="false">
      <c r="A30" s="2" t="s">
        <v>185</v>
      </c>
      <c r="B30" s="2" t="s">
        <v>318</v>
      </c>
      <c r="C30" s="2" t="s">
        <v>48</v>
      </c>
      <c r="D30" s="2" t="s">
        <v>319</v>
      </c>
      <c r="E30" s="2" t="s">
        <v>320</v>
      </c>
      <c r="F30" s="2" t="s">
        <v>321</v>
      </c>
    </row>
    <row r="31" customFormat="false" ht="15" hidden="false" customHeight="false" outlineLevel="0" collapsed="false">
      <c r="A31" s="2" t="s">
        <v>185</v>
      </c>
      <c r="B31" s="2" t="s">
        <v>326</v>
      </c>
      <c r="C31" s="2" t="s">
        <v>51</v>
      </c>
      <c r="D31" s="2" t="s">
        <v>319</v>
      </c>
      <c r="E31" s="2" t="s">
        <v>327</v>
      </c>
      <c r="F31" s="2" t="s">
        <v>342</v>
      </c>
    </row>
    <row r="32" customFormat="false" ht="15" hidden="false" customHeight="false" outlineLevel="0" collapsed="false">
      <c r="A32" s="2" t="s">
        <v>185</v>
      </c>
      <c r="B32" s="2" t="s">
        <v>329</v>
      </c>
      <c r="C32" s="2" t="s">
        <v>52</v>
      </c>
      <c r="D32" s="2" t="s">
        <v>319</v>
      </c>
      <c r="E32" s="2" t="s">
        <v>330</v>
      </c>
      <c r="F32" s="2" t="s">
        <v>331</v>
      </c>
    </row>
    <row r="33" customFormat="false" ht="15" hidden="false" customHeight="false" outlineLevel="0" collapsed="false">
      <c r="A33" s="2" t="s">
        <v>185</v>
      </c>
      <c r="B33" s="2" t="s">
        <v>339</v>
      </c>
      <c r="C33" s="2" t="s">
        <v>51</v>
      </c>
      <c r="D33" s="2" t="s">
        <v>319</v>
      </c>
      <c r="E33" s="2" t="s">
        <v>340</v>
      </c>
      <c r="F33" s="2" t="s">
        <v>341</v>
      </c>
    </row>
    <row r="34" customFormat="false" ht="15" hidden="false" customHeight="false" outlineLevel="0" collapsed="false">
      <c r="A34" s="2" t="s">
        <v>185</v>
      </c>
      <c r="B34" s="2" t="s">
        <v>329</v>
      </c>
      <c r="C34" s="2" t="s">
        <v>52</v>
      </c>
      <c r="D34" s="2" t="s">
        <v>319</v>
      </c>
      <c r="E34" s="2" t="s">
        <v>335</v>
      </c>
      <c r="F34" s="2" t="s">
        <v>331</v>
      </c>
    </row>
    <row r="35" customFormat="false" ht="15" hidden="false" customHeight="false" outlineLevel="0" collapsed="false">
      <c r="A35" s="2" t="s">
        <v>187</v>
      </c>
      <c r="B35" s="2" t="s">
        <v>318</v>
      </c>
      <c r="C35" s="2" t="s">
        <v>48</v>
      </c>
      <c r="D35" s="2" t="s">
        <v>319</v>
      </c>
      <c r="E35" s="2" t="s">
        <v>320</v>
      </c>
      <c r="F35" s="2" t="s">
        <v>321</v>
      </c>
    </row>
    <row r="36" customFormat="false" ht="15" hidden="false" customHeight="false" outlineLevel="0" collapsed="false">
      <c r="A36" s="2" t="s">
        <v>187</v>
      </c>
      <c r="B36" s="2" t="s">
        <v>322</v>
      </c>
      <c r="C36" s="2" t="s">
        <v>51</v>
      </c>
      <c r="D36" s="2" t="s">
        <v>323</v>
      </c>
      <c r="E36" s="2" t="s">
        <v>324</v>
      </c>
      <c r="F36" s="2" t="s">
        <v>325</v>
      </c>
    </row>
    <row r="37" customFormat="false" ht="15" hidden="false" customHeight="false" outlineLevel="0" collapsed="false">
      <c r="A37" s="2" t="s">
        <v>187</v>
      </c>
      <c r="B37" s="2" t="s">
        <v>329</v>
      </c>
      <c r="C37" s="2" t="s">
        <v>52</v>
      </c>
      <c r="D37" s="2" t="s">
        <v>319</v>
      </c>
      <c r="E37" s="2" t="s">
        <v>330</v>
      </c>
      <c r="F37" s="2" t="s">
        <v>331</v>
      </c>
    </row>
    <row r="38" customFormat="false" ht="15" hidden="false" customHeight="false" outlineLevel="0" collapsed="false">
      <c r="A38" s="2" t="s">
        <v>187</v>
      </c>
      <c r="B38" s="2" t="s">
        <v>339</v>
      </c>
      <c r="C38" s="2" t="s">
        <v>51</v>
      </c>
      <c r="D38" s="2" t="s">
        <v>319</v>
      </c>
      <c r="E38" s="2" t="s">
        <v>340</v>
      </c>
      <c r="F38" s="2" t="s">
        <v>341</v>
      </c>
    </row>
    <row r="39" customFormat="false" ht="15" hidden="false" customHeight="false" outlineLevel="0" collapsed="false">
      <c r="A39" s="2" t="s">
        <v>187</v>
      </c>
      <c r="B39" s="2" t="s">
        <v>332</v>
      </c>
      <c r="C39" s="2" t="s">
        <v>51</v>
      </c>
      <c r="D39" s="2" t="s">
        <v>319</v>
      </c>
      <c r="E39" s="2" t="s">
        <v>333</v>
      </c>
      <c r="F39" s="2" t="s">
        <v>334</v>
      </c>
    </row>
    <row r="40" customFormat="false" ht="15" hidden="false" customHeight="false" outlineLevel="0" collapsed="false">
      <c r="A40" s="2" t="s">
        <v>187</v>
      </c>
      <c r="B40" s="2" t="s">
        <v>329</v>
      </c>
      <c r="C40" s="2" t="s">
        <v>52</v>
      </c>
      <c r="D40" s="2" t="s">
        <v>319</v>
      </c>
      <c r="E40" s="2" t="s">
        <v>335</v>
      </c>
      <c r="F40" s="2" t="s">
        <v>331</v>
      </c>
    </row>
    <row r="41" customFormat="false" ht="15" hidden="false" customHeight="false" outlineLevel="0" collapsed="false">
      <c r="A41" s="2" t="s">
        <v>187</v>
      </c>
      <c r="B41" s="2" t="s">
        <v>336</v>
      </c>
      <c r="C41" s="2" t="s">
        <v>52</v>
      </c>
      <c r="D41" s="2" t="s">
        <v>319</v>
      </c>
      <c r="E41" s="2" t="s">
        <v>337</v>
      </c>
      <c r="F41" s="2" t="s">
        <v>338</v>
      </c>
    </row>
    <row r="42" customFormat="false" ht="15" hidden="false" customHeight="false" outlineLevel="0" collapsed="false">
      <c r="A42" s="2" t="s">
        <v>190</v>
      </c>
      <c r="B42" s="2" t="s">
        <v>318</v>
      </c>
      <c r="C42" s="2" t="s">
        <v>48</v>
      </c>
      <c r="D42" s="2" t="s">
        <v>319</v>
      </c>
      <c r="E42" s="2" t="s">
        <v>320</v>
      </c>
      <c r="F42" s="2" t="s">
        <v>321</v>
      </c>
    </row>
    <row r="43" customFormat="false" ht="15" hidden="false" customHeight="false" outlineLevel="0" collapsed="false">
      <c r="A43" s="2" t="s">
        <v>190</v>
      </c>
      <c r="B43" s="2" t="s">
        <v>322</v>
      </c>
      <c r="C43" s="2" t="s">
        <v>51</v>
      </c>
      <c r="D43" s="2" t="s">
        <v>323</v>
      </c>
      <c r="E43" s="2" t="s">
        <v>324</v>
      </c>
      <c r="F43" s="2" t="s">
        <v>325</v>
      </c>
    </row>
    <row r="44" customFormat="false" ht="15" hidden="false" customHeight="false" outlineLevel="0" collapsed="false">
      <c r="A44" s="2" t="s">
        <v>190</v>
      </c>
      <c r="B44" s="2" t="s">
        <v>326</v>
      </c>
      <c r="C44" s="2" t="s">
        <v>51</v>
      </c>
      <c r="D44" s="2" t="s">
        <v>319</v>
      </c>
      <c r="E44" s="2" t="s">
        <v>327</v>
      </c>
      <c r="F44" s="2" t="s">
        <v>346</v>
      </c>
    </row>
    <row r="45" customFormat="false" ht="15" hidden="false" customHeight="false" outlineLevel="0" collapsed="false">
      <c r="A45" s="2" t="s">
        <v>190</v>
      </c>
      <c r="B45" s="2" t="s">
        <v>329</v>
      </c>
      <c r="C45" s="2" t="s">
        <v>52</v>
      </c>
      <c r="D45" s="2" t="s">
        <v>319</v>
      </c>
      <c r="E45" s="2" t="s">
        <v>330</v>
      </c>
      <c r="F45" s="2" t="s">
        <v>331</v>
      </c>
    </row>
    <row r="46" customFormat="false" ht="15" hidden="false" customHeight="false" outlineLevel="0" collapsed="false">
      <c r="A46" s="2" t="s">
        <v>190</v>
      </c>
      <c r="B46" s="2" t="s">
        <v>332</v>
      </c>
      <c r="C46" s="2" t="s">
        <v>51</v>
      </c>
      <c r="D46" s="2" t="s">
        <v>319</v>
      </c>
      <c r="E46" s="2" t="s">
        <v>333</v>
      </c>
      <c r="F46" s="2" t="s">
        <v>334</v>
      </c>
    </row>
    <row r="47" customFormat="false" ht="15" hidden="false" customHeight="false" outlineLevel="0" collapsed="false">
      <c r="A47" s="2" t="s">
        <v>190</v>
      </c>
      <c r="B47" s="2" t="s">
        <v>329</v>
      </c>
      <c r="C47" s="2" t="s">
        <v>52</v>
      </c>
      <c r="D47" s="2" t="s">
        <v>319</v>
      </c>
      <c r="E47" s="2" t="s">
        <v>335</v>
      </c>
      <c r="F47" s="2" t="s">
        <v>331</v>
      </c>
    </row>
    <row r="48" customFormat="false" ht="15" hidden="false" customHeight="false" outlineLevel="0" collapsed="false">
      <c r="A48" s="2" t="s">
        <v>190</v>
      </c>
      <c r="B48" s="2" t="s">
        <v>336</v>
      </c>
      <c r="C48" s="2" t="s">
        <v>52</v>
      </c>
      <c r="D48" s="2" t="s">
        <v>319</v>
      </c>
      <c r="E48" s="2" t="s">
        <v>337</v>
      </c>
      <c r="F48" s="2" t="s">
        <v>338</v>
      </c>
    </row>
    <row r="49" customFormat="false" ht="15" hidden="false" customHeight="false" outlineLevel="0" collapsed="false">
      <c r="A49" s="2" t="s">
        <v>192</v>
      </c>
      <c r="B49" s="2" t="s">
        <v>347</v>
      </c>
      <c r="C49" s="2" t="s">
        <v>48</v>
      </c>
      <c r="D49" s="2" t="s">
        <v>323</v>
      </c>
      <c r="E49" s="2" t="s">
        <v>348</v>
      </c>
      <c r="F49" s="2" t="s">
        <v>349</v>
      </c>
    </row>
    <row r="50" customFormat="false" ht="15" hidden="false" customHeight="false" outlineLevel="0" collapsed="false">
      <c r="A50" s="2" t="s">
        <v>192</v>
      </c>
      <c r="B50" s="2" t="s">
        <v>318</v>
      </c>
      <c r="C50" s="2" t="s">
        <v>48</v>
      </c>
      <c r="D50" s="2" t="s">
        <v>319</v>
      </c>
      <c r="E50" s="2" t="s">
        <v>320</v>
      </c>
      <c r="F50" s="2" t="s">
        <v>321</v>
      </c>
    </row>
    <row r="51" customFormat="false" ht="15" hidden="false" customHeight="false" outlineLevel="0" collapsed="false">
      <c r="A51" s="2" t="s">
        <v>192</v>
      </c>
      <c r="B51" s="2" t="s">
        <v>329</v>
      </c>
      <c r="C51" s="2" t="s">
        <v>52</v>
      </c>
      <c r="D51" s="2" t="s">
        <v>319</v>
      </c>
      <c r="E51" s="2" t="s">
        <v>330</v>
      </c>
      <c r="F51" s="2" t="s">
        <v>331</v>
      </c>
    </row>
    <row r="52" customFormat="false" ht="15" hidden="false" customHeight="false" outlineLevel="0" collapsed="false">
      <c r="A52" s="2" t="s">
        <v>192</v>
      </c>
      <c r="B52" s="2" t="s">
        <v>339</v>
      </c>
      <c r="C52" s="2" t="s">
        <v>51</v>
      </c>
      <c r="D52" s="2" t="s">
        <v>319</v>
      </c>
      <c r="E52" s="2" t="s">
        <v>340</v>
      </c>
      <c r="F52" s="2" t="s">
        <v>341</v>
      </c>
    </row>
    <row r="53" customFormat="false" ht="15" hidden="false" customHeight="false" outlineLevel="0" collapsed="false">
      <c r="A53" s="2" t="s">
        <v>192</v>
      </c>
      <c r="B53" s="2" t="s">
        <v>329</v>
      </c>
      <c r="C53" s="2" t="s">
        <v>52</v>
      </c>
      <c r="D53" s="2" t="s">
        <v>319</v>
      </c>
      <c r="E53" s="2" t="s">
        <v>335</v>
      </c>
      <c r="F53" s="2" t="s">
        <v>331</v>
      </c>
    </row>
    <row r="54" customFormat="false" ht="15" hidden="false" customHeight="false" outlineLevel="0" collapsed="false">
      <c r="A54" s="2" t="s">
        <v>192</v>
      </c>
      <c r="B54" s="2" t="s">
        <v>336</v>
      </c>
      <c r="C54" s="2" t="s">
        <v>52</v>
      </c>
      <c r="D54" s="2" t="s">
        <v>319</v>
      </c>
      <c r="E54" s="2" t="s">
        <v>337</v>
      </c>
      <c r="F54" s="2" t="s">
        <v>338</v>
      </c>
    </row>
    <row r="55" customFormat="false" ht="15" hidden="false" customHeight="false" outlineLevel="0" collapsed="false">
      <c r="A55" s="2" t="s">
        <v>196</v>
      </c>
      <c r="B55" s="2" t="s">
        <v>350</v>
      </c>
      <c r="C55" s="2" t="s">
        <v>49</v>
      </c>
      <c r="D55" s="2" t="s">
        <v>315</v>
      </c>
      <c r="E55" s="2" t="s">
        <v>335</v>
      </c>
      <c r="F55" s="2" t="s">
        <v>351</v>
      </c>
    </row>
    <row r="56" customFormat="false" ht="15" hidden="false" customHeight="false" outlineLevel="0" collapsed="false">
      <c r="A56" s="2" t="s">
        <v>196</v>
      </c>
      <c r="B56" s="2" t="s">
        <v>318</v>
      </c>
      <c r="C56" s="2" t="s">
        <v>48</v>
      </c>
      <c r="D56" s="2" t="s">
        <v>319</v>
      </c>
      <c r="E56" s="2" t="s">
        <v>320</v>
      </c>
      <c r="F56" s="2" t="s">
        <v>321</v>
      </c>
    </row>
    <row r="57" customFormat="false" ht="15" hidden="false" customHeight="false" outlineLevel="0" collapsed="false">
      <c r="A57" s="2" t="s">
        <v>196</v>
      </c>
      <c r="B57" s="2" t="s">
        <v>329</v>
      </c>
      <c r="C57" s="2" t="s">
        <v>52</v>
      </c>
      <c r="D57" s="2" t="s">
        <v>319</v>
      </c>
      <c r="E57" s="2" t="s">
        <v>330</v>
      </c>
      <c r="F57" s="2" t="s">
        <v>331</v>
      </c>
    </row>
    <row r="58" customFormat="false" ht="15" hidden="false" customHeight="false" outlineLevel="0" collapsed="false">
      <c r="A58" s="2" t="s">
        <v>196</v>
      </c>
      <c r="B58" s="2" t="s">
        <v>332</v>
      </c>
      <c r="C58" s="2" t="s">
        <v>51</v>
      </c>
      <c r="D58" s="2" t="s">
        <v>319</v>
      </c>
      <c r="E58" s="2" t="s">
        <v>333</v>
      </c>
      <c r="F58" s="2" t="s">
        <v>334</v>
      </c>
    </row>
    <row r="59" customFormat="false" ht="15" hidden="false" customHeight="false" outlineLevel="0" collapsed="false">
      <c r="A59" s="2" t="s">
        <v>196</v>
      </c>
      <c r="B59" s="2" t="s">
        <v>336</v>
      </c>
      <c r="C59" s="2" t="s">
        <v>52</v>
      </c>
      <c r="D59" s="2" t="s">
        <v>319</v>
      </c>
      <c r="E59" s="2" t="s">
        <v>352</v>
      </c>
      <c r="F59" s="2" t="s">
        <v>353</v>
      </c>
    </row>
    <row r="60" customFormat="false" ht="15" hidden="false" customHeight="false" outlineLevel="0" collapsed="false">
      <c r="A60" s="2" t="s">
        <v>198</v>
      </c>
      <c r="B60" s="2" t="s">
        <v>318</v>
      </c>
      <c r="C60" s="2" t="s">
        <v>48</v>
      </c>
      <c r="D60" s="2" t="s">
        <v>319</v>
      </c>
      <c r="E60" s="2" t="s">
        <v>320</v>
      </c>
      <c r="F60" s="2" t="s">
        <v>321</v>
      </c>
    </row>
    <row r="61" customFormat="false" ht="15" hidden="false" customHeight="false" outlineLevel="0" collapsed="false">
      <c r="A61" s="2" t="s">
        <v>198</v>
      </c>
      <c r="B61" s="2" t="s">
        <v>329</v>
      </c>
      <c r="C61" s="2" t="s">
        <v>52</v>
      </c>
      <c r="D61" s="2" t="s">
        <v>319</v>
      </c>
      <c r="E61" s="2" t="s">
        <v>330</v>
      </c>
      <c r="F61" s="2" t="s">
        <v>331</v>
      </c>
    </row>
    <row r="62" customFormat="false" ht="15" hidden="false" customHeight="false" outlineLevel="0" collapsed="false">
      <c r="A62" s="2" t="s">
        <v>198</v>
      </c>
      <c r="B62" s="2" t="s">
        <v>339</v>
      </c>
      <c r="C62" s="2" t="s">
        <v>51</v>
      </c>
      <c r="D62" s="2" t="s">
        <v>319</v>
      </c>
      <c r="E62" s="2" t="s">
        <v>340</v>
      </c>
      <c r="F62" s="2" t="s">
        <v>341</v>
      </c>
    </row>
    <row r="63" customFormat="false" ht="15" hidden="false" customHeight="false" outlineLevel="0" collapsed="false">
      <c r="A63" s="2" t="s">
        <v>198</v>
      </c>
      <c r="B63" s="2" t="s">
        <v>332</v>
      </c>
      <c r="C63" s="2" t="s">
        <v>51</v>
      </c>
      <c r="D63" s="2" t="s">
        <v>319</v>
      </c>
      <c r="E63" s="2" t="s">
        <v>333</v>
      </c>
      <c r="F63" s="2" t="s">
        <v>334</v>
      </c>
    </row>
    <row r="64" customFormat="false" ht="15" hidden="false" customHeight="false" outlineLevel="0" collapsed="false">
      <c r="A64" s="2" t="s">
        <v>198</v>
      </c>
      <c r="B64" s="2" t="s">
        <v>329</v>
      </c>
      <c r="C64" s="2" t="s">
        <v>52</v>
      </c>
      <c r="D64" s="2" t="s">
        <v>319</v>
      </c>
      <c r="E64" s="2" t="s">
        <v>335</v>
      </c>
      <c r="F64" s="2" t="s">
        <v>331</v>
      </c>
    </row>
    <row r="65" customFormat="false" ht="15" hidden="false" customHeight="false" outlineLevel="0" collapsed="false">
      <c r="A65" s="2" t="s">
        <v>198</v>
      </c>
      <c r="B65" s="2" t="s">
        <v>336</v>
      </c>
      <c r="C65" s="2" t="s">
        <v>52</v>
      </c>
      <c r="D65" s="2" t="s">
        <v>319</v>
      </c>
      <c r="E65" s="2" t="s">
        <v>337</v>
      </c>
      <c r="F65" s="2" t="s">
        <v>338</v>
      </c>
    </row>
    <row r="66" customFormat="false" ht="15" hidden="false" customHeight="false" outlineLevel="0" collapsed="false">
      <c r="A66" s="2" t="s">
        <v>200</v>
      </c>
      <c r="B66" s="2" t="s">
        <v>318</v>
      </c>
      <c r="C66" s="2" t="s">
        <v>48</v>
      </c>
      <c r="D66" s="2" t="s">
        <v>319</v>
      </c>
      <c r="E66" s="2" t="s">
        <v>320</v>
      </c>
      <c r="F66" s="2" t="s">
        <v>321</v>
      </c>
    </row>
    <row r="67" customFormat="false" ht="15" hidden="false" customHeight="false" outlineLevel="0" collapsed="false">
      <c r="A67" s="2" t="s">
        <v>200</v>
      </c>
      <c r="B67" s="2" t="s">
        <v>329</v>
      </c>
      <c r="C67" s="2" t="s">
        <v>52</v>
      </c>
      <c r="D67" s="2" t="s">
        <v>319</v>
      </c>
      <c r="E67" s="2" t="s">
        <v>330</v>
      </c>
      <c r="F67" s="2" t="s">
        <v>331</v>
      </c>
    </row>
    <row r="68" customFormat="false" ht="15" hidden="false" customHeight="false" outlineLevel="0" collapsed="false">
      <c r="A68" s="2" t="s">
        <v>200</v>
      </c>
      <c r="B68" s="2" t="s">
        <v>332</v>
      </c>
      <c r="C68" s="2" t="s">
        <v>51</v>
      </c>
      <c r="D68" s="2" t="s">
        <v>319</v>
      </c>
      <c r="E68" s="2" t="s">
        <v>333</v>
      </c>
      <c r="F68" s="2" t="s">
        <v>334</v>
      </c>
    </row>
    <row r="69" customFormat="false" ht="15" hidden="false" customHeight="false" outlineLevel="0" collapsed="false">
      <c r="A69" s="2" t="s">
        <v>200</v>
      </c>
      <c r="B69" s="2" t="s">
        <v>329</v>
      </c>
      <c r="C69" s="2" t="s">
        <v>52</v>
      </c>
      <c r="D69" s="2" t="s">
        <v>319</v>
      </c>
      <c r="E69" s="2" t="s">
        <v>335</v>
      </c>
      <c r="F69" s="2" t="s">
        <v>331</v>
      </c>
    </row>
    <row r="70" customFormat="false" ht="15" hidden="false" customHeight="false" outlineLevel="0" collapsed="false">
      <c r="A70" s="2" t="s">
        <v>201</v>
      </c>
      <c r="B70" s="2" t="s">
        <v>354</v>
      </c>
      <c r="C70" s="2" t="s">
        <v>46</v>
      </c>
      <c r="D70" s="2" t="s">
        <v>315</v>
      </c>
      <c r="E70" s="2" t="s">
        <v>355</v>
      </c>
      <c r="F70" s="2" t="s">
        <v>356</v>
      </c>
    </row>
    <row r="71" customFormat="false" ht="15" hidden="false" customHeight="false" outlineLevel="0" collapsed="false">
      <c r="A71" s="2" t="s">
        <v>203</v>
      </c>
      <c r="B71" s="2" t="s">
        <v>357</v>
      </c>
      <c r="C71" s="2" t="s">
        <v>48</v>
      </c>
      <c r="D71" s="2" t="s">
        <v>323</v>
      </c>
      <c r="E71" s="2" t="s">
        <v>358</v>
      </c>
      <c r="F71" s="2" t="s">
        <v>359</v>
      </c>
    </row>
    <row r="72" customFormat="false" ht="15" hidden="false" customHeight="false" outlineLevel="0" collapsed="false">
      <c r="A72" s="2" t="s">
        <v>203</v>
      </c>
      <c r="B72" s="2" t="s">
        <v>318</v>
      </c>
      <c r="C72" s="2" t="s">
        <v>48</v>
      </c>
      <c r="D72" s="2" t="s">
        <v>319</v>
      </c>
      <c r="E72" s="2" t="s">
        <v>320</v>
      </c>
      <c r="F72" s="2" t="s">
        <v>321</v>
      </c>
    </row>
    <row r="73" customFormat="false" ht="15" hidden="false" customHeight="false" outlineLevel="0" collapsed="false">
      <c r="A73" s="2" t="s">
        <v>203</v>
      </c>
      <c r="B73" s="2" t="s">
        <v>329</v>
      </c>
      <c r="C73" s="2" t="s">
        <v>52</v>
      </c>
      <c r="D73" s="2" t="s">
        <v>319</v>
      </c>
      <c r="E73" s="2" t="s">
        <v>330</v>
      </c>
      <c r="F73" s="2" t="s">
        <v>331</v>
      </c>
    </row>
    <row r="74" customFormat="false" ht="15" hidden="false" customHeight="false" outlineLevel="0" collapsed="false">
      <c r="A74" s="2" t="s">
        <v>203</v>
      </c>
      <c r="B74" s="2" t="s">
        <v>339</v>
      </c>
      <c r="C74" s="2" t="s">
        <v>51</v>
      </c>
      <c r="D74" s="2" t="s">
        <v>319</v>
      </c>
      <c r="E74" s="2" t="s">
        <v>340</v>
      </c>
      <c r="F74" s="2" t="s">
        <v>341</v>
      </c>
    </row>
    <row r="75" customFormat="false" ht="15" hidden="false" customHeight="false" outlineLevel="0" collapsed="false">
      <c r="A75" s="2" t="s">
        <v>203</v>
      </c>
      <c r="B75" s="2" t="s">
        <v>332</v>
      </c>
      <c r="C75" s="2" t="s">
        <v>51</v>
      </c>
      <c r="D75" s="2" t="s">
        <v>319</v>
      </c>
      <c r="E75" s="2" t="s">
        <v>333</v>
      </c>
      <c r="F75" s="2" t="s">
        <v>334</v>
      </c>
    </row>
    <row r="76" customFormat="false" ht="15" hidden="false" customHeight="false" outlineLevel="0" collapsed="false">
      <c r="A76" s="2" t="s">
        <v>203</v>
      </c>
      <c r="B76" s="2" t="s">
        <v>329</v>
      </c>
      <c r="C76" s="2" t="s">
        <v>52</v>
      </c>
      <c r="D76" s="2" t="s">
        <v>319</v>
      </c>
      <c r="E76" s="2" t="s">
        <v>335</v>
      </c>
      <c r="F76" s="2" t="s">
        <v>331</v>
      </c>
    </row>
    <row r="77" customFormat="false" ht="15" hidden="false" customHeight="false" outlineLevel="0" collapsed="false">
      <c r="A77" s="2" t="s">
        <v>203</v>
      </c>
      <c r="B77" s="2" t="s">
        <v>336</v>
      </c>
      <c r="C77" s="2" t="s">
        <v>52</v>
      </c>
      <c r="D77" s="2" t="s">
        <v>319</v>
      </c>
      <c r="E77" s="2" t="s">
        <v>337</v>
      </c>
      <c r="F77" s="2" t="s">
        <v>338</v>
      </c>
    </row>
    <row r="78" customFormat="false" ht="15" hidden="false" customHeight="false" outlineLevel="0" collapsed="false">
      <c r="A78" s="2" t="s">
        <v>205</v>
      </c>
      <c r="B78" s="2" t="s">
        <v>360</v>
      </c>
      <c r="C78" s="2" t="s">
        <v>48</v>
      </c>
      <c r="D78" s="2" t="s">
        <v>315</v>
      </c>
      <c r="E78" s="2" t="s">
        <v>361</v>
      </c>
      <c r="F78" s="2" t="s">
        <v>362</v>
      </c>
    </row>
    <row r="79" customFormat="false" ht="15" hidden="false" customHeight="false" outlineLevel="0" collapsed="false">
      <c r="A79" s="2" t="s">
        <v>205</v>
      </c>
      <c r="B79" s="2" t="s">
        <v>318</v>
      </c>
      <c r="C79" s="2" t="s">
        <v>48</v>
      </c>
      <c r="D79" s="2" t="s">
        <v>319</v>
      </c>
      <c r="E79" s="2" t="s">
        <v>320</v>
      </c>
      <c r="F79" s="2" t="s">
        <v>321</v>
      </c>
    </row>
    <row r="80" customFormat="false" ht="15" hidden="false" customHeight="false" outlineLevel="0" collapsed="false">
      <c r="A80" s="2" t="s">
        <v>205</v>
      </c>
      <c r="B80" s="2" t="s">
        <v>322</v>
      </c>
      <c r="C80" s="2" t="s">
        <v>51</v>
      </c>
      <c r="D80" s="2" t="s">
        <v>323</v>
      </c>
      <c r="E80" s="2" t="s">
        <v>324</v>
      </c>
      <c r="F80" s="2" t="s">
        <v>325</v>
      </c>
    </row>
    <row r="81" customFormat="false" ht="15" hidden="false" customHeight="false" outlineLevel="0" collapsed="false">
      <c r="A81" s="2" t="s">
        <v>205</v>
      </c>
      <c r="B81" s="2" t="s">
        <v>329</v>
      </c>
      <c r="C81" s="2" t="s">
        <v>52</v>
      </c>
      <c r="D81" s="2" t="s">
        <v>319</v>
      </c>
      <c r="E81" s="2" t="s">
        <v>330</v>
      </c>
      <c r="F81" s="2" t="s">
        <v>331</v>
      </c>
    </row>
    <row r="82" customFormat="false" ht="15" hidden="false" customHeight="false" outlineLevel="0" collapsed="false">
      <c r="A82" s="2" t="s">
        <v>205</v>
      </c>
      <c r="B82" s="2" t="s">
        <v>329</v>
      </c>
      <c r="C82" s="2" t="s">
        <v>52</v>
      </c>
      <c r="D82" s="2" t="s">
        <v>319</v>
      </c>
      <c r="E82" s="2" t="s">
        <v>335</v>
      </c>
      <c r="F82" s="2" t="s">
        <v>331</v>
      </c>
    </row>
    <row r="83" customFormat="false" ht="15" hidden="false" customHeight="false" outlineLevel="0" collapsed="false">
      <c r="A83" s="2" t="s">
        <v>208</v>
      </c>
      <c r="B83" s="2" t="s">
        <v>318</v>
      </c>
      <c r="C83" s="2" t="s">
        <v>48</v>
      </c>
      <c r="D83" s="2" t="s">
        <v>319</v>
      </c>
      <c r="E83" s="2" t="s">
        <v>320</v>
      </c>
      <c r="F83" s="2" t="s">
        <v>321</v>
      </c>
    </row>
    <row r="84" customFormat="false" ht="15" hidden="false" customHeight="false" outlineLevel="0" collapsed="false">
      <c r="A84" s="2" t="s">
        <v>208</v>
      </c>
      <c r="B84" s="2" t="s">
        <v>326</v>
      </c>
      <c r="C84" s="2" t="s">
        <v>51</v>
      </c>
      <c r="D84" s="2" t="s">
        <v>319</v>
      </c>
      <c r="E84" s="2" t="s">
        <v>327</v>
      </c>
      <c r="F84" s="2" t="s">
        <v>363</v>
      </c>
    </row>
    <row r="85" customFormat="false" ht="15" hidden="false" customHeight="false" outlineLevel="0" collapsed="false">
      <c r="A85" s="2" t="s">
        <v>208</v>
      </c>
      <c r="B85" s="2" t="s">
        <v>329</v>
      </c>
      <c r="C85" s="2" t="s">
        <v>52</v>
      </c>
      <c r="D85" s="2" t="s">
        <v>319</v>
      </c>
      <c r="E85" s="2" t="s">
        <v>330</v>
      </c>
      <c r="F85" s="2" t="s">
        <v>331</v>
      </c>
    </row>
    <row r="86" customFormat="false" ht="15" hidden="false" customHeight="false" outlineLevel="0" collapsed="false">
      <c r="A86" s="2" t="s">
        <v>208</v>
      </c>
      <c r="B86" s="2" t="s">
        <v>339</v>
      </c>
      <c r="C86" s="2" t="s">
        <v>51</v>
      </c>
      <c r="D86" s="2" t="s">
        <v>319</v>
      </c>
      <c r="E86" s="2" t="s">
        <v>340</v>
      </c>
      <c r="F86" s="2" t="s">
        <v>341</v>
      </c>
    </row>
    <row r="87" customFormat="false" ht="15" hidden="false" customHeight="false" outlineLevel="0" collapsed="false">
      <c r="A87" s="2" t="s">
        <v>208</v>
      </c>
      <c r="B87" s="2" t="s">
        <v>329</v>
      </c>
      <c r="C87" s="2" t="s">
        <v>52</v>
      </c>
      <c r="D87" s="2" t="s">
        <v>319</v>
      </c>
      <c r="E87" s="2" t="s">
        <v>335</v>
      </c>
      <c r="F87" s="2" t="s">
        <v>331</v>
      </c>
    </row>
    <row r="88" customFormat="false" ht="15" hidden="false" customHeight="false" outlineLevel="0" collapsed="false">
      <c r="A88" s="2" t="s">
        <v>208</v>
      </c>
      <c r="B88" s="2" t="s">
        <v>336</v>
      </c>
      <c r="C88" s="2" t="s">
        <v>52</v>
      </c>
      <c r="D88" s="2" t="s">
        <v>319</v>
      </c>
      <c r="E88" s="2" t="s">
        <v>352</v>
      </c>
      <c r="F88" s="2" t="s">
        <v>353</v>
      </c>
    </row>
    <row r="89" customFormat="false" ht="15" hidden="false" customHeight="false" outlineLevel="0" collapsed="false">
      <c r="A89" s="2" t="s">
        <v>209</v>
      </c>
      <c r="B89" s="2" t="s">
        <v>318</v>
      </c>
      <c r="C89" s="2" t="s">
        <v>48</v>
      </c>
      <c r="D89" s="2" t="s">
        <v>319</v>
      </c>
      <c r="E89" s="2" t="s">
        <v>320</v>
      </c>
      <c r="F89" s="2" t="s">
        <v>321</v>
      </c>
    </row>
    <row r="90" customFormat="false" ht="15" hidden="false" customHeight="false" outlineLevel="0" collapsed="false">
      <c r="A90" s="2" t="s">
        <v>209</v>
      </c>
      <c r="B90" s="2" t="s">
        <v>329</v>
      </c>
      <c r="C90" s="2" t="s">
        <v>52</v>
      </c>
      <c r="D90" s="2" t="s">
        <v>319</v>
      </c>
      <c r="E90" s="2" t="s">
        <v>330</v>
      </c>
      <c r="F90" s="2" t="s">
        <v>331</v>
      </c>
    </row>
    <row r="91" customFormat="false" ht="15" hidden="false" customHeight="false" outlineLevel="0" collapsed="false">
      <c r="A91" s="2" t="s">
        <v>209</v>
      </c>
      <c r="B91" s="2" t="s">
        <v>329</v>
      </c>
      <c r="C91" s="2" t="s">
        <v>52</v>
      </c>
      <c r="D91" s="2" t="s">
        <v>319</v>
      </c>
      <c r="E91" s="2" t="s">
        <v>335</v>
      </c>
      <c r="F91" s="2" t="s">
        <v>331</v>
      </c>
    </row>
    <row r="92" customFormat="false" ht="15" hidden="false" customHeight="false" outlineLevel="0" collapsed="false">
      <c r="A92" s="2" t="s">
        <v>209</v>
      </c>
      <c r="B92" s="2" t="s">
        <v>336</v>
      </c>
      <c r="C92" s="2" t="s">
        <v>52</v>
      </c>
      <c r="D92" s="2" t="s">
        <v>319</v>
      </c>
      <c r="E92" s="2" t="s">
        <v>352</v>
      </c>
      <c r="F92" s="2" t="s">
        <v>353</v>
      </c>
    </row>
    <row r="93" customFormat="false" ht="15" hidden="false" customHeight="false" outlineLevel="0" collapsed="false">
      <c r="A93" s="2" t="s">
        <v>210</v>
      </c>
      <c r="B93" s="2" t="s">
        <v>318</v>
      </c>
      <c r="C93" s="2" t="s">
        <v>48</v>
      </c>
      <c r="D93" s="2" t="s">
        <v>319</v>
      </c>
      <c r="E93" s="2" t="s">
        <v>320</v>
      </c>
      <c r="F93" s="2" t="s">
        <v>321</v>
      </c>
    </row>
    <row r="94" customFormat="false" ht="15" hidden="false" customHeight="false" outlineLevel="0" collapsed="false">
      <c r="A94" s="2" t="s">
        <v>210</v>
      </c>
      <c r="B94" s="2" t="s">
        <v>329</v>
      </c>
      <c r="C94" s="2" t="s">
        <v>52</v>
      </c>
      <c r="D94" s="2" t="s">
        <v>319</v>
      </c>
      <c r="E94" s="2" t="s">
        <v>330</v>
      </c>
      <c r="F94" s="2" t="s">
        <v>331</v>
      </c>
    </row>
    <row r="95" customFormat="false" ht="15" hidden="false" customHeight="false" outlineLevel="0" collapsed="false">
      <c r="A95" s="2" t="s">
        <v>210</v>
      </c>
      <c r="B95" s="2" t="s">
        <v>329</v>
      </c>
      <c r="C95" s="2" t="s">
        <v>52</v>
      </c>
      <c r="D95" s="2" t="s">
        <v>319</v>
      </c>
      <c r="E95" s="2" t="s">
        <v>335</v>
      </c>
      <c r="F95" s="2" t="s">
        <v>331</v>
      </c>
    </row>
    <row r="96" customFormat="false" ht="15" hidden="false" customHeight="false" outlineLevel="0" collapsed="false">
      <c r="A96" s="2" t="s">
        <v>210</v>
      </c>
      <c r="B96" s="2" t="s">
        <v>336</v>
      </c>
      <c r="C96" s="2" t="s">
        <v>52</v>
      </c>
      <c r="D96" s="2" t="s">
        <v>319</v>
      </c>
      <c r="E96" s="2" t="s">
        <v>337</v>
      </c>
      <c r="F96" s="2" t="s">
        <v>338</v>
      </c>
    </row>
    <row r="97" customFormat="false" ht="15" hidden="false" customHeight="false" outlineLevel="0" collapsed="false">
      <c r="A97" s="2" t="s">
        <v>212</v>
      </c>
      <c r="B97" s="2" t="s">
        <v>364</v>
      </c>
      <c r="C97" s="2" t="s">
        <v>48</v>
      </c>
      <c r="D97" s="2" t="s">
        <v>323</v>
      </c>
      <c r="E97" s="2" t="s">
        <v>358</v>
      </c>
      <c r="F97" s="2" t="s">
        <v>365</v>
      </c>
    </row>
    <row r="98" customFormat="false" ht="15" hidden="false" customHeight="false" outlineLevel="0" collapsed="false">
      <c r="A98" s="2" t="s">
        <v>212</v>
      </c>
      <c r="B98" s="2" t="s">
        <v>329</v>
      </c>
      <c r="C98" s="2" t="s">
        <v>52</v>
      </c>
      <c r="D98" s="2" t="s">
        <v>319</v>
      </c>
      <c r="E98" s="2" t="s">
        <v>330</v>
      </c>
      <c r="F98" s="2" t="s">
        <v>331</v>
      </c>
    </row>
    <row r="99" customFormat="false" ht="15" hidden="false" customHeight="false" outlineLevel="0" collapsed="false">
      <c r="A99" s="2" t="s">
        <v>212</v>
      </c>
      <c r="B99" s="2" t="s">
        <v>332</v>
      </c>
      <c r="C99" s="2" t="s">
        <v>51</v>
      </c>
      <c r="D99" s="2" t="s">
        <v>319</v>
      </c>
      <c r="E99" s="2" t="s">
        <v>333</v>
      </c>
      <c r="F99" s="2" t="s">
        <v>334</v>
      </c>
    </row>
    <row r="100" customFormat="false" ht="15" hidden="false" customHeight="false" outlineLevel="0" collapsed="false">
      <c r="A100" s="2" t="s">
        <v>212</v>
      </c>
      <c r="B100" s="2" t="s">
        <v>329</v>
      </c>
      <c r="C100" s="2" t="s">
        <v>52</v>
      </c>
      <c r="D100" s="2" t="s">
        <v>319</v>
      </c>
      <c r="E100" s="2" t="s">
        <v>335</v>
      </c>
      <c r="F100" s="2" t="s">
        <v>331</v>
      </c>
    </row>
    <row r="101" customFormat="false" ht="15" hidden="false" customHeight="false" outlineLevel="0" collapsed="false">
      <c r="A101" s="2" t="s">
        <v>212</v>
      </c>
      <c r="B101" s="2" t="s">
        <v>336</v>
      </c>
      <c r="C101" s="2" t="s">
        <v>52</v>
      </c>
      <c r="D101" s="2" t="s">
        <v>319</v>
      </c>
      <c r="E101" s="2" t="s">
        <v>337</v>
      </c>
      <c r="F101" s="2" t="s">
        <v>338</v>
      </c>
    </row>
    <row r="102" customFormat="false" ht="15" hidden="false" customHeight="false" outlineLevel="0" collapsed="false">
      <c r="A102" s="2" t="s">
        <v>214</v>
      </c>
      <c r="B102" s="2" t="s">
        <v>318</v>
      </c>
      <c r="C102" s="2" t="s">
        <v>48</v>
      </c>
      <c r="D102" s="2" t="s">
        <v>319</v>
      </c>
      <c r="E102" s="2" t="s">
        <v>320</v>
      </c>
      <c r="F102" s="2" t="s">
        <v>321</v>
      </c>
    </row>
    <row r="103" customFormat="false" ht="15" hidden="false" customHeight="false" outlineLevel="0" collapsed="false">
      <c r="A103" s="2" t="s">
        <v>214</v>
      </c>
      <c r="B103" s="2" t="s">
        <v>329</v>
      </c>
      <c r="C103" s="2" t="s">
        <v>52</v>
      </c>
      <c r="D103" s="2" t="s">
        <v>319</v>
      </c>
      <c r="E103" s="2" t="s">
        <v>330</v>
      </c>
      <c r="F103" s="2" t="s">
        <v>331</v>
      </c>
    </row>
    <row r="104" customFormat="false" ht="15" hidden="false" customHeight="false" outlineLevel="0" collapsed="false">
      <c r="A104" s="2" t="s">
        <v>214</v>
      </c>
      <c r="B104" s="2" t="s">
        <v>339</v>
      </c>
      <c r="C104" s="2" t="s">
        <v>51</v>
      </c>
      <c r="D104" s="2" t="s">
        <v>319</v>
      </c>
      <c r="E104" s="2" t="s">
        <v>340</v>
      </c>
      <c r="F104" s="2" t="s">
        <v>341</v>
      </c>
    </row>
    <row r="105" customFormat="false" ht="15" hidden="false" customHeight="false" outlineLevel="0" collapsed="false">
      <c r="A105" s="2" t="s">
        <v>214</v>
      </c>
      <c r="B105" s="2" t="s">
        <v>332</v>
      </c>
      <c r="C105" s="2" t="s">
        <v>51</v>
      </c>
      <c r="D105" s="2" t="s">
        <v>319</v>
      </c>
      <c r="E105" s="2" t="s">
        <v>333</v>
      </c>
      <c r="F105" s="2" t="s">
        <v>334</v>
      </c>
    </row>
    <row r="106" customFormat="false" ht="15" hidden="false" customHeight="false" outlineLevel="0" collapsed="false">
      <c r="A106" s="2" t="s">
        <v>214</v>
      </c>
      <c r="B106" s="2" t="s">
        <v>329</v>
      </c>
      <c r="C106" s="2" t="s">
        <v>52</v>
      </c>
      <c r="D106" s="2" t="s">
        <v>319</v>
      </c>
      <c r="E106" s="2" t="s">
        <v>335</v>
      </c>
      <c r="F106" s="2" t="s">
        <v>331</v>
      </c>
    </row>
    <row r="107" customFormat="false" ht="15" hidden="false" customHeight="false" outlineLevel="0" collapsed="false">
      <c r="A107" s="2" t="s">
        <v>216</v>
      </c>
      <c r="B107" s="2" t="s">
        <v>366</v>
      </c>
      <c r="C107" s="2" t="s">
        <v>48</v>
      </c>
      <c r="D107" s="2" t="s">
        <v>315</v>
      </c>
      <c r="E107" s="2" t="s">
        <v>367</v>
      </c>
      <c r="F107" s="2" t="s">
        <v>368</v>
      </c>
    </row>
    <row r="108" customFormat="false" ht="15" hidden="false" customHeight="false" outlineLevel="0" collapsed="false">
      <c r="A108" s="2" t="s">
        <v>216</v>
      </c>
      <c r="B108" s="2" t="s">
        <v>318</v>
      </c>
      <c r="C108" s="2" t="s">
        <v>48</v>
      </c>
      <c r="D108" s="2" t="s">
        <v>319</v>
      </c>
      <c r="E108" s="2" t="s">
        <v>320</v>
      </c>
      <c r="F108" s="2" t="s">
        <v>321</v>
      </c>
    </row>
    <row r="109" customFormat="false" ht="15" hidden="false" customHeight="false" outlineLevel="0" collapsed="false">
      <c r="A109" s="2" t="s">
        <v>216</v>
      </c>
      <c r="B109" s="2" t="s">
        <v>326</v>
      </c>
      <c r="C109" s="2" t="s">
        <v>51</v>
      </c>
      <c r="D109" s="2" t="s">
        <v>319</v>
      </c>
      <c r="E109" s="2" t="s">
        <v>327</v>
      </c>
      <c r="F109" s="2" t="s">
        <v>363</v>
      </c>
    </row>
    <row r="110" customFormat="false" ht="15" hidden="false" customHeight="false" outlineLevel="0" collapsed="false">
      <c r="A110" s="2" t="s">
        <v>216</v>
      </c>
      <c r="B110" s="2" t="s">
        <v>329</v>
      </c>
      <c r="C110" s="2" t="s">
        <v>52</v>
      </c>
      <c r="D110" s="2" t="s">
        <v>319</v>
      </c>
      <c r="E110" s="2" t="s">
        <v>330</v>
      </c>
      <c r="F110" s="2" t="s">
        <v>331</v>
      </c>
    </row>
    <row r="111" customFormat="false" ht="15" hidden="false" customHeight="false" outlineLevel="0" collapsed="false">
      <c r="A111" s="2" t="s">
        <v>216</v>
      </c>
      <c r="B111" s="2" t="s">
        <v>332</v>
      </c>
      <c r="C111" s="2" t="s">
        <v>51</v>
      </c>
      <c r="D111" s="2" t="s">
        <v>319</v>
      </c>
      <c r="E111" s="2" t="s">
        <v>333</v>
      </c>
      <c r="F111" s="2" t="s">
        <v>334</v>
      </c>
    </row>
    <row r="112" customFormat="false" ht="15" hidden="false" customHeight="false" outlineLevel="0" collapsed="false">
      <c r="A112" s="2" t="s">
        <v>216</v>
      </c>
      <c r="B112" s="2" t="s">
        <v>329</v>
      </c>
      <c r="C112" s="2" t="s">
        <v>52</v>
      </c>
      <c r="D112" s="2" t="s">
        <v>319</v>
      </c>
      <c r="E112" s="2" t="s">
        <v>335</v>
      </c>
      <c r="F112" s="2" t="s">
        <v>331</v>
      </c>
    </row>
    <row r="113" customFormat="false" ht="15" hidden="false" customHeight="false" outlineLevel="0" collapsed="false">
      <c r="A113" s="2" t="s">
        <v>218</v>
      </c>
      <c r="B113" s="2" t="s">
        <v>318</v>
      </c>
      <c r="C113" s="2" t="s">
        <v>48</v>
      </c>
      <c r="D113" s="2" t="s">
        <v>319</v>
      </c>
      <c r="E113" s="2" t="s">
        <v>320</v>
      </c>
      <c r="F113" s="2" t="s">
        <v>321</v>
      </c>
    </row>
    <row r="114" customFormat="false" ht="15" hidden="false" customHeight="false" outlineLevel="0" collapsed="false">
      <c r="A114" s="2" t="s">
        <v>218</v>
      </c>
      <c r="B114" s="2" t="s">
        <v>329</v>
      </c>
      <c r="C114" s="2" t="s">
        <v>52</v>
      </c>
      <c r="D114" s="2" t="s">
        <v>319</v>
      </c>
      <c r="E114" s="2" t="s">
        <v>330</v>
      </c>
      <c r="F114" s="2" t="s">
        <v>331</v>
      </c>
    </row>
    <row r="115" customFormat="false" ht="15" hidden="false" customHeight="false" outlineLevel="0" collapsed="false">
      <c r="A115" s="2" t="s">
        <v>218</v>
      </c>
      <c r="B115" s="2" t="s">
        <v>329</v>
      </c>
      <c r="C115" s="2" t="s">
        <v>52</v>
      </c>
      <c r="D115" s="2" t="s">
        <v>319</v>
      </c>
      <c r="E115" s="2" t="s">
        <v>335</v>
      </c>
      <c r="F115" s="2" t="s">
        <v>331</v>
      </c>
    </row>
    <row r="116" customFormat="false" ht="15" hidden="false" customHeight="false" outlineLevel="0" collapsed="false">
      <c r="A116" s="2" t="s">
        <v>221</v>
      </c>
      <c r="B116" s="2" t="s">
        <v>318</v>
      </c>
      <c r="C116" s="2" t="s">
        <v>48</v>
      </c>
      <c r="D116" s="2" t="s">
        <v>319</v>
      </c>
      <c r="E116" s="2" t="s">
        <v>320</v>
      </c>
      <c r="F116" s="2" t="s">
        <v>321</v>
      </c>
    </row>
    <row r="117" customFormat="false" ht="15" hidden="false" customHeight="false" outlineLevel="0" collapsed="false">
      <c r="A117" s="2" t="s">
        <v>221</v>
      </c>
      <c r="B117" s="2" t="s">
        <v>329</v>
      </c>
      <c r="C117" s="2" t="s">
        <v>52</v>
      </c>
      <c r="D117" s="2" t="s">
        <v>319</v>
      </c>
      <c r="E117" s="2" t="s">
        <v>330</v>
      </c>
      <c r="F117" s="2" t="s">
        <v>331</v>
      </c>
    </row>
    <row r="118" customFormat="false" ht="15" hidden="false" customHeight="false" outlineLevel="0" collapsed="false">
      <c r="A118" s="2" t="s">
        <v>221</v>
      </c>
      <c r="B118" s="2" t="s">
        <v>339</v>
      </c>
      <c r="C118" s="2" t="s">
        <v>51</v>
      </c>
      <c r="D118" s="2" t="s">
        <v>319</v>
      </c>
      <c r="E118" s="2" t="s">
        <v>340</v>
      </c>
      <c r="F118" s="2" t="s">
        <v>341</v>
      </c>
    </row>
    <row r="119" customFormat="false" ht="15" hidden="false" customHeight="false" outlineLevel="0" collapsed="false">
      <c r="A119" s="2" t="s">
        <v>221</v>
      </c>
      <c r="B119" s="2" t="s">
        <v>332</v>
      </c>
      <c r="C119" s="2" t="s">
        <v>51</v>
      </c>
      <c r="D119" s="2" t="s">
        <v>319</v>
      </c>
      <c r="E119" s="2" t="s">
        <v>333</v>
      </c>
      <c r="F119" s="2" t="s">
        <v>334</v>
      </c>
    </row>
    <row r="120" customFormat="false" ht="15" hidden="false" customHeight="false" outlineLevel="0" collapsed="false">
      <c r="A120" s="2" t="s">
        <v>221</v>
      </c>
      <c r="B120" s="2" t="s">
        <v>369</v>
      </c>
      <c r="C120" s="2" t="s">
        <v>50</v>
      </c>
      <c r="D120" s="2" t="s">
        <v>323</v>
      </c>
      <c r="E120" s="2" t="s">
        <v>370</v>
      </c>
      <c r="F120" s="2" t="s">
        <v>371</v>
      </c>
    </row>
    <row r="121" customFormat="false" ht="15" hidden="false" customHeight="false" outlineLevel="0" collapsed="false">
      <c r="A121" s="2" t="s">
        <v>221</v>
      </c>
      <c r="B121" s="2" t="s">
        <v>329</v>
      </c>
      <c r="C121" s="2" t="s">
        <v>52</v>
      </c>
      <c r="D121" s="2" t="s">
        <v>319</v>
      </c>
      <c r="E121" s="2" t="s">
        <v>335</v>
      </c>
      <c r="F121" s="2" t="s">
        <v>331</v>
      </c>
    </row>
    <row r="122" customFormat="false" ht="15" hidden="false" customHeight="false" outlineLevel="0" collapsed="false">
      <c r="A122" s="2" t="s">
        <v>223</v>
      </c>
      <c r="B122" s="2" t="s">
        <v>318</v>
      </c>
      <c r="C122" s="2" t="s">
        <v>48</v>
      </c>
      <c r="D122" s="2" t="s">
        <v>319</v>
      </c>
      <c r="E122" s="2" t="s">
        <v>320</v>
      </c>
      <c r="F122" s="2" t="s">
        <v>321</v>
      </c>
    </row>
    <row r="123" customFormat="false" ht="15" hidden="false" customHeight="false" outlineLevel="0" collapsed="false">
      <c r="A123" s="2" t="s">
        <v>223</v>
      </c>
      <c r="B123" s="2" t="s">
        <v>329</v>
      </c>
      <c r="C123" s="2" t="s">
        <v>52</v>
      </c>
      <c r="D123" s="2" t="s">
        <v>319</v>
      </c>
      <c r="E123" s="2" t="s">
        <v>330</v>
      </c>
      <c r="F123" s="2" t="s">
        <v>331</v>
      </c>
    </row>
    <row r="124" customFormat="false" ht="15" hidden="false" customHeight="false" outlineLevel="0" collapsed="false">
      <c r="A124" s="2" t="s">
        <v>223</v>
      </c>
      <c r="B124" s="2" t="s">
        <v>329</v>
      </c>
      <c r="C124" s="2" t="s">
        <v>52</v>
      </c>
      <c r="D124" s="2" t="s">
        <v>319</v>
      </c>
      <c r="E124" s="2" t="s">
        <v>335</v>
      </c>
      <c r="F124" s="2" t="s">
        <v>331</v>
      </c>
    </row>
    <row r="125" customFormat="false" ht="15" hidden="false" customHeight="false" outlineLevel="0" collapsed="false">
      <c r="A125" s="2" t="s">
        <v>223</v>
      </c>
      <c r="B125" s="2" t="s">
        <v>372</v>
      </c>
      <c r="C125" s="2" t="s">
        <v>50</v>
      </c>
      <c r="D125" s="2" t="s">
        <v>323</v>
      </c>
      <c r="E125" s="2" t="s">
        <v>373</v>
      </c>
      <c r="F125" s="2" t="s">
        <v>374</v>
      </c>
    </row>
    <row r="126" customFormat="false" ht="15" hidden="false" customHeight="false" outlineLevel="0" collapsed="false">
      <c r="A126" s="2" t="s">
        <v>225</v>
      </c>
      <c r="B126" s="2" t="s">
        <v>318</v>
      </c>
      <c r="C126" s="2" t="s">
        <v>48</v>
      </c>
      <c r="D126" s="2" t="s">
        <v>319</v>
      </c>
      <c r="E126" s="2" t="s">
        <v>320</v>
      </c>
      <c r="F126" s="2" t="s">
        <v>321</v>
      </c>
    </row>
    <row r="127" customFormat="false" ht="15" hidden="false" customHeight="false" outlineLevel="0" collapsed="false">
      <c r="A127" s="2" t="s">
        <v>225</v>
      </c>
      <c r="B127" s="2" t="s">
        <v>326</v>
      </c>
      <c r="C127" s="2" t="s">
        <v>51</v>
      </c>
      <c r="D127" s="2" t="s">
        <v>319</v>
      </c>
      <c r="E127" s="2" t="s">
        <v>327</v>
      </c>
      <c r="F127" s="2" t="s">
        <v>375</v>
      </c>
    </row>
    <row r="128" customFormat="false" ht="15" hidden="false" customHeight="false" outlineLevel="0" collapsed="false">
      <c r="A128" s="2" t="s">
        <v>225</v>
      </c>
      <c r="B128" s="2" t="s">
        <v>329</v>
      </c>
      <c r="C128" s="2" t="s">
        <v>52</v>
      </c>
      <c r="D128" s="2" t="s">
        <v>319</v>
      </c>
      <c r="E128" s="2" t="s">
        <v>330</v>
      </c>
      <c r="F128" s="2" t="s">
        <v>331</v>
      </c>
    </row>
    <row r="129" customFormat="false" ht="15" hidden="false" customHeight="false" outlineLevel="0" collapsed="false">
      <c r="A129" s="2" t="s">
        <v>225</v>
      </c>
      <c r="B129" s="2" t="s">
        <v>332</v>
      </c>
      <c r="C129" s="2" t="s">
        <v>51</v>
      </c>
      <c r="D129" s="2" t="s">
        <v>319</v>
      </c>
      <c r="E129" s="2" t="s">
        <v>333</v>
      </c>
      <c r="F129" s="2" t="s">
        <v>334</v>
      </c>
    </row>
    <row r="130" customFormat="false" ht="15" hidden="false" customHeight="false" outlineLevel="0" collapsed="false">
      <c r="A130" s="2" t="s">
        <v>225</v>
      </c>
      <c r="B130" s="2" t="s">
        <v>329</v>
      </c>
      <c r="C130" s="2" t="s">
        <v>52</v>
      </c>
      <c r="D130" s="2" t="s">
        <v>319</v>
      </c>
      <c r="E130" s="2" t="s">
        <v>335</v>
      </c>
      <c r="F130" s="2" t="s">
        <v>331</v>
      </c>
    </row>
    <row r="131" customFormat="false" ht="15" hidden="false" customHeight="false" outlineLevel="0" collapsed="false">
      <c r="A131" s="2" t="s">
        <v>226</v>
      </c>
      <c r="B131" s="2" t="s">
        <v>318</v>
      </c>
      <c r="C131" s="2" t="s">
        <v>48</v>
      </c>
      <c r="D131" s="2" t="s">
        <v>319</v>
      </c>
      <c r="E131" s="2" t="s">
        <v>320</v>
      </c>
      <c r="F131" s="2" t="s">
        <v>321</v>
      </c>
    </row>
    <row r="132" customFormat="false" ht="15" hidden="false" customHeight="false" outlineLevel="0" collapsed="false">
      <c r="A132" s="2" t="s">
        <v>226</v>
      </c>
      <c r="B132" s="2" t="s">
        <v>329</v>
      </c>
      <c r="C132" s="2" t="s">
        <v>52</v>
      </c>
      <c r="D132" s="2" t="s">
        <v>319</v>
      </c>
      <c r="E132" s="2" t="s">
        <v>330</v>
      </c>
      <c r="F132" s="2" t="s">
        <v>331</v>
      </c>
    </row>
    <row r="133" customFormat="false" ht="15" hidden="false" customHeight="false" outlineLevel="0" collapsed="false">
      <c r="A133" s="2" t="s">
        <v>226</v>
      </c>
      <c r="B133" s="2" t="s">
        <v>339</v>
      </c>
      <c r="C133" s="2" t="s">
        <v>51</v>
      </c>
      <c r="D133" s="2" t="s">
        <v>319</v>
      </c>
      <c r="E133" s="2" t="s">
        <v>340</v>
      </c>
      <c r="F133" s="2" t="s">
        <v>341</v>
      </c>
    </row>
    <row r="134" customFormat="false" ht="15" hidden="false" customHeight="false" outlineLevel="0" collapsed="false">
      <c r="A134" s="2" t="s">
        <v>226</v>
      </c>
      <c r="B134" s="2" t="s">
        <v>332</v>
      </c>
      <c r="C134" s="2" t="s">
        <v>51</v>
      </c>
      <c r="D134" s="2" t="s">
        <v>319</v>
      </c>
      <c r="E134" s="2" t="s">
        <v>333</v>
      </c>
      <c r="F134" s="2" t="s">
        <v>334</v>
      </c>
    </row>
    <row r="135" customFormat="false" ht="15" hidden="false" customHeight="false" outlineLevel="0" collapsed="false">
      <c r="A135" s="2" t="s">
        <v>226</v>
      </c>
      <c r="B135" s="2" t="s">
        <v>329</v>
      </c>
      <c r="C135" s="2" t="s">
        <v>52</v>
      </c>
      <c r="D135" s="2" t="s">
        <v>319</v>
      </c>
      <c r="E135" s="2" t="s">
        <v>335</v>
      </c>
      <c r="F135" s="2" t="s">
        <v>331</v>
      </c>
    </row>
    <row r="136" customFormat="false" ht="15" hidden="false" customHeight="false" outlineLevel="0" collapsed="false">
      <c r="A136" s="2" t="s">
        <v>227</v>
      </c>
      <c r="B136" s="2" t="s">
        <v>350</v>
      </c>
      <c r="C136" s="2" t="s">
        <v>49</v>
      </c>
      <c r="D136" s="2" t="s">
        <v>315</v>
      </c>
      <c r="E136" s="2" t="s">
        <v>330</v>
      </c>
      <c r="F136" s="2" t="s">
        <v>376</v>
      </c>
    </row>
    <row r="137" customFormat="false" ht="15" hidden="false" customHeight="false" outlineLevel="0" collapsed="false">
      <c r="A137" s="2" t="s">
        <v>227</v>
      </c>
      <c r="B137" s="2" t="s">
        <v>318</v>
      </c>
      <c r="C137" s="2" t="s">
        <v>48</v>
      </c>
      <c r="D137" s="2" t="s">
        <v>319</v>
      </c>
      <c r="E137" s="2" t="s">
        <v>320</v>
      </c>
      <c r="F137" s="2" t="s">
        <v>321</v>
      </c>
    </row>
    <row r="138" customFormat="false" ht="15" hidden="false" customHeight="false" outlineLevel="0" collapsed="false">
      <c r="A138" s="2" t="s">
        <v>227</v>
      </c>
      <c r="B138" s="2" t="s">
        <v>326</v>
      </c>
      <c r="C138" s="2" t="s">
        <v>51</v>
      </c>
      <c r="D138" s="2" t="s">
        <v>319</v>
      </c>
      <c r="E138" s="2" t="s">
        <v>327</v>
      </c>
      <c r="F138" s="2" t="s">
        <v>363</v>
      </c>
    </row>
    <row r="139" customFormat="false" ht="15" hidden="false" customHeight="false" outlineLevel="0" collapsed="false">
      <c r="A139" s="2" t="s">
        <v>227</v>
      </c>
      <c r="B139" s="2" t="s">
        <v>339</v>
      </c>
      <c r="C139" s="2" t="s">
        <v>51</v>
      </c>
      <c r="D139" s="2" t="s">
        <v>319</v>
      </c>
      <c r="E139" s="2" t="s">
        <v>340</v>
      </c>
      <c r="F139" s="2" t="s">
        <v>341</v>
      </c>
    </row>
    <row r="140" customFormat="false" ht="15" hidden="false" customHeight="false" outlineLevel="0" collapsed="false">
      <c r="A140" s="2" t="s">
        <v>227</v>
      </c>
      <c r="B140" s="2" t="s">
        <v>329</v>
      </c>
      <c r="C140" s="2" t="s">
        <v>52</v>
      </c>
      <c r="D140" s="2" t="s">
        <v>319</v>
      </c>
      <c r="E140" s="2" t="s">
        <v>335</v>
      </c>
      <c r="F140" s="2" t="s">
        <v>331</v>
      </c>
    </row>
    <row r="141" customFormat="false" ht="15" hidden="false" customHeight="false" outlineLevel="0" collapsed="false">
      <c r="A141" s="2" t="s">
        <v>227</v>
      </c>
      <c r="B141" s="2" t="s">
        <v>336</v>
      </c>
      <c r="C141" s="2" t="s">
        <v>52</v>
      </c>
      <c r="D141" s="2" t="s">
        <v>319</v>
      </c>
      <c r="E141" s="2" t="s">
        <v>337</v>
      </c>
      <c r="F141" s="2" t="s">
        <v>338</v>
      </c>
    </row>
    <row r="142" customFormat="false" ht="15" hidden="false" customHeight="false" outlineLevel="0" collapsed="false">
      <c r="A142" s="2" t="s">
        <v>228</v>
      </c>
      <c r="B142" s="2" t="s">
        <v>318</v>
      </c>
      <c r="C142" s="2" t="s">
        <v>48</v>
      </c>
      <c r="D142" s="2" t="s">
        <v>319</v>
      </c>
      <c r="E142" s="2" t="s">
        <v>320</v>
      </c>
      <c r="F142" s="2" t="s">
        <v>321</v>
      </c>
    </row>
    <row r="143" customFormat="false" ht="15" hidden="false" customHeight="false" outlineLevel="0" collapsed="false">
      <c r="A143" s="2" t="s">
        <v>228</v>
      </c>
      <c r="B143" s="2" t="s">
        <v>322</v>
      </c>
      <c r="C143" s="2" t="s">
        <v>51</v>
      </c>
      <c r="D143" s="2" t="s">
        <v>323</v>
      </c>
      <c r="E143" s="2" t="s">
        <v>324</v>
      </c>
      <c r="F143" s="2" t="s">
        <v>325</v>
      </c>
    </row>
    <row r="144" customFormat="false" ht="15" hidden="false" customHeight="false" outlineLevel="0" collapsed="false">
      <c r="A144" s="2" t="s">
        <v>228</v>
      </c>
      <c r="B144" s="2" t="s">
        <v>329</v>
      </c>
      <c r="C144" s="2" t="s">
        <v>52</v>
      </c>
      <c r="D144" s="2" t="s">
        <v>319</v>
      </c>
      <c r="E144" s="2" t="s">
        <v>330</v>
      </c>
      <c r="F144" s="2" t="s">
        <v>331</v>
      </c>
    </row>
    <row r="145" customFormat="false" ht="15" hidden="false" customHeight="false" outlineLevel="0" collapsed="false">
      <c r="A145" s="2" t="s">
        <v>228</v>
      </c>
      <c r="B145" s="2" t="s">
        <v>339</v>
      </c>
      <c r="C145" s="2" t="s">
        <v>51</v>
      </c>
      <c r="D145" s="2" t="s">
        <v>319</v>
      </c>
      <c r="E145" s="2" t="s">
        <v>340</v>
      </c>
      <c r="F145" s="2" t="s">
        <v>341</v>
      </c>
    </row>
    <row r="146" customFormat="false" ht="15" hidden="false" customHeight="false" outlineLevel="0" collapsed="false">
      <c r="A146" s="2" t="s">
        <v>228</v>
      </c>
      <c r="B146" s="2" t="s">
        <v>332</v>
      </c>
      <c r="C146" s="2" t="s">
        <v>51</v>
      </c>
      <c r="D146" s="2" t="s">
        <v>319</v>
      </c>
      <c r="E146" s="2" t="s">
        <v>333</v>
      </c>
      <c r="F146" s="2" t="s">
        <v>334</v>
      </c>
    </row>
    <row r="147" customFormat="false" ht="15" hidden="false" customHeight="false" outlineLevel="0" collapsed="false">
      <c r="A147" s="2" t="s">
        <v>228</v>
      </c>
      <c r="B147" s="2" t="s">
        <v>329</v>
      </c>
      <c r="C147" s="2" t="s">
        <v>52</v>
      </c>
      <c r="D147" s="2" t="s">
        <v>319</v>
      </c>
      <c r="E147" s="2" t="s">
        <v>335</v>
      </c>
      <c r="F147" s="2" t="s">
        <v>331</v>
      </c>
    </row>
    <row r="148" customFormat="false" ht="15" hidden="false" customHeight="false" outlineLevel="0" collapsed="false">
      <c r="A148" s="2" t="s">
        <v>228</v>
      </c>
      <c r="B148" s="2" t="s">
        <v>336</v>
      </c>
      <c r="C148" s="2" t="s">
        <v>52</v>
      </c>
      <c r="D148" s="2" t="s">
        <v>319</v>
      </c>
      <c r="E148" s="2" t="s">
        <v>337</v>
      </c>
      <c r="F148" s="2" t="s">
        <v>338</v>
      </c>
    </row>
    <row r="149" customFormat="false" ht="15" hidden="false" customHeight="false" outlineLevel="0" collapsed="false">
      <c r="A149" s="2" t="s">
        <v>229</v>
      </c>
      <c r="B149" s="2" t="s">
        <v>357</v>
      </c>
      <c r="C149" s="2" t="s">
        <v>48</v>
      </c>
      <c r="D149" s="2" t="s">
        <v>323</v>
      </c>
      <c r="E149" s="2" t="s">
        <v>358</v>
      </c>
      <c r="F149" s="2" t="s">
        <v>359</v>
      </c>
    </row>
    <row r="150" customFormat="false" ht="15" hidden="false" customHeight="false" outlineLevel="0" collapsed="false">
      <c r="A150" s="2" t="s">
        <v>229</v>
      </c>
      <c r="B150" s="2" t="s">
        <v>318</v>
      </c>
      <c r="C150" s="2" t="s">
        <v>48</v>
      </c>
      <c r="D150" s="2" t="s">
        <v>319</v>
      </c>
      <c r="E150" s="2" t="s">
        <v>320</v>
      </c>
      <c r="F150" s="2" t="s">
        <v>321</v>
      </c>
    </row>
    <row r="151" customFormat="false" ht="15" hidden="false" customHeight="false" outlineLevel="0" collapsed="false">
      <c r="A151" s="2" t="s">
        <v>229</v>
      </c>
      <c r="B151" s="2" t="s">
        <v>322</v>
      </c>
      <c r="C151" s="2" t="s">
        <v>51</v>
      </c>
      <c r="D151" s="2" t="s">
        <v>323</v>
      </c>
      <c r="E151" s="2" t="s">
        <v>324</v>
      </c>
      <c r="F151" s="2" t="s">
        <v>325</v>
      </c>
    </row>
    <row r="152" customFormat="false" ht="15" hidden="false" customHeight="false" outlineLevel="0" collapsed="false">
      <c r="A152" s="2" t="s">
        <v>229</v>
      </c>
      <c r="B152" s="2" t="s">
        <v>329</v>
      </c>
      <c r="C152" s="2" t="s">
        <v>52</v>
      </c>
      <c r="D152" s="2" t="s">
        <v>319</v>
      </c>
      <c r="E152" s="2" t="s">
        <v>330</v>
      </c>
      <c r="F152" s="2" t="s">
        <v>331</v>
      </c>
    </row>
    <row r="153" customFormat="false" ht="15" hidden="false" customHeight="false" outlineLevel="0" collapsed="false">
      <c r="A153" s="2" t="s">
        <v>229</v>
      </c>
      <c r="B153" s="2" t="s">
        <v>339</v>
      </c>
      <c r="C153" s="2" t="s">
        <v>51</v>
      </c>
      <c r="D153" s="2" t="s">
        <v>319</v>
      </c>
      <c r="E153" s="2" t="s">
        <v>340</v>
      </c>
      <c r="F153" s="2" t="s">
        <v>341</v>
      </c>
    </row>
    <row r="154" customFormat="false" ht="15" hidden="false" customHeight="false" outlineLevel="0" collapsed="false">
      <c r="A154" s="2" t="s">
        <v>229</v>
      </c>
      <c r="B154" s="2" t="s">
        <v>332</v>
      </c>
      <c r="C154" s="2" t="s">
        <v>51</v>
      </c>
      <c r="D154" s="2" t="s">
        <v>319</v>
      </c>
      <c r="E154" s="2" t="s">
        <v>333</v>
      </c>
      <c r="F154" s="2" t="s">
        <v>334</v>
      </c>
    </row>
    <row r="155" customFormat="false" ht="15" hidden="false" customHeight="false" outlineLevel="0" collapsed="false">
      <c r="A155" s="2" t="s">
        <v>229</v>
      </c>
      <c r="B155" s="2" t="s">
        <v>329</v>
      </c>
      <c r="C155" s="2" t="s">
        <v>52</v>
      </c>
      <c r="D155" s="2" t="s">
        <v>319</v>
      </c>
      <c r="E155" s="2" t="s">
        <v>335</v>
      </c>
      <c r="F155" s="2" t="s">
        <v>331</v>
      </c>
    </row>
    <row r="156" customFormat="false" ht="15" hidden="false" customHeight="false" outlineLevel="0" collapsed="false">
      <c r="A156" s="2" t="s">
        <v>229</v>
      </c>
      <c r="B156" s="2" t="s">
        <v>336</v>
      </c>
      <c r="C156" s="2" t="s">
        <v>52</v>
      </c>
      <c r="D156" s="2" t="s">
        <v>319</v>
      </c>
      <c r="E156" s="2" t="s">
        <v>352</v>
      </c>
      <c r="F156" s="2" t="s">
        <v>353</v>
      </c>
    </row>
    <row r="157" customFormat="false" ht="15" hidden="false" customHeight="false" outlineLevel="0" collapsed="false">
      <c r="A157" s="2" t="s">
        <v>230</v>
      </c>
      <c r="B157" s="2" t="s">
        <v>318</v>
      </c>
      <c r="C157" s="2" t="s">
        <v>48</v>
      </c>
      <c r="D157" s="2" t="s">
        <v>319</v>
      </c>
      <c r="E157" s="2" t="s">
        <v>320</v>
      </c>
      <c r="F157" s="2" t="s">
        <v>321</v>
      </c>
    </row>
    <row r="158" customFormat="false" ht="15" hidden="false" customHeight="false" outlineLevel="0" collapsed="false">
      <c r="A158" s="2" t="s">
        <v>230</v>
      </c>
      <c r="B158" s="2" t="s">
        <v>326</v>
      </c>
      <c r="C158" s="2" t="s">
        <v>51</v>
      </c>
      <c r="D158" s="2" t="s">
        <v>319</v>
      </c>
      <c r="E158" s="2" t="s">
        <v>327</v>
      </c>
      <c r="F158" s="2" t="s">
        <v>377</v>
      </c>
    </row>
    <row r="159" customFormat="false" ht="15" hidden="false" customHeight="false" outlineLevel="0" collapsed="false">
      <c r="A159" s="2" t="s">
        <v>230</v>
      </c>
      <c r="B159" s="2" t="s">
        <v>329</v>
      </c>
      <c r="C159" s="2" t="s">
        <v>52</v>
      </c>
      <c r="D159" s="2" t="s">
        <v>319</v>
      </c>
      <c r="E159" s="2" t="s">
        <v>330</v>
      </c>
      <c r="F159" s="2" t="s">
        <v>331</v>
      </c>
    </row>
    <row r="160" customFormat="false" ht="15" hidden="false" customHeight="false" outlineLevel="0" collapsed="false">
      <c r="A160" s="2" t="s">
        <v>230</v>
      </c>
      <c r="B160" s="2" t="s">
        <v>332</v>
      </c>
      <c r="C160" s="2" t="s">
        <v>51</v>
      </c>
      <c r="D160" s="2" t="s">
        <v>319</v>
      </c>
      <c r="E160" s="2" t="s">
        <v>333</v>
      </c>
      <c r="F160" s="2" t="s">
        <v>334</v>
      </c>
    </row>
    <row r="161" customFormat="false" ht="15" hidden="false" customHeight="false" outlineLevel="0" collapsed="false">
      <c r="A161" s="2" t="s">
        <v>230</v>
      </c>
      <c r="B161" s="2" t="s">
        <v>329</v>
      </c>
      <c r="C161" s="2" t="s">
        <v>52</v>
      </c>
      <c r="D161" s="2" t="s">
        <v>319</v>
      </c>
      <c r="E161" s="2" t="s">
        <v>335</v>
      </c>
      <c r="F161" s="2" t="s">
        <v>331</v>
      </c>
    </row>
    <row r="162" customFormat="false" ht="15" hidden="false" customHeight="false" outlineLevel="0" collapsed="false">
      <c r="A162" s="2" t="s">
        <v>231</v>
      </c>
      <c r="B162" s="2" t="s">
        <v>318</v>
      </c>
      <c r="C162" s="2" t="s">
        <v>48</v>
      </c>
      <c r="D162" s="2" t="s">
        <v>319</v>
      </c>
      <c r="E162" s="2" t="s">
        <v>320</v>
      </c>
      <c r="F162" s="2" t="s">
        <v>321</v>
      </c>
    </row>
    <row r="163" customFormat="false" ht="15" hidden="false" customHeight="false" outlineLevel="0" collapsed="false">
      <c r="A163" s="2" t="s">
        <v>231</v>
      </c>
      <c r="B163" s="2" t="s">
        <v>329</v>
      </c>
      <c r="C163" s="2" t="s">
        <v>52</v>
      </c>
      <c r="D163" s="2" t="s">
        <v>319</v>
      </c>
      <c r="E163" s="2" t="s">
        <v>330</v>
      </c>
      <c r="F163" s="2" t="s">
        <v>331</v>
      </c>
    </row>
    <row r="164" customFormat="false" ht="15" hidden="false" customHeight="false" outlineLevel="0" collapsed="false">
      <c r="A164" s="2" t="s">
        <v>231</v>
      </c>
      <c r="B164" s="2" t="s">
        <v>332</v>
      </c>
      <c r="C164" s="2" t="s">
        <v>51</v>
      </c>
      <c r="D164" s="2" t="s">
        <v>319</v>
      </c>
      <c r="E164" s="2" t="s">
        <v>333</v>
      </c>
      <c r="F164" s="2" t="s">
        <v>334</v>
      </c>
    </row>
    <row r="165" customFormat="false" ht="15" hidden="false" customHeight="false" outlineLevel="0" collapsed="false">
      <c r="A165" s="2" t="s">
        <v>231</v>
      </c>
      <c r="B165" s="2" t="s">
        <v>329</v>
      </c>
      <c r="C165" s="2" t="s">
        <v>52</v>
      </c>
      <c r="D165" s="2" t="s">
        <v>319</v>
      </c>
      <c r="E165" s="2" t="s">
        <v>335</v>
      </c>
      <c r="F165" s="2" t="s">
        <v>331</v>
      </c>
    </row>
    <row r="166" customFormat="false" ht="15" hidden="false" customHeight="false" outlineLevel="0" collapsed="false">
      <c r="A166" s="2" t="s">
        <v>231</v>
      </c>
      <c r="B166" s="2" t="s">
        <v>336</v>
      </c>
      <c r="C166" s="2" t="s">
        <v>52</v>
      </c>
      <c r="D166" s="2" t="s">
        <v>319</v>
      </c>
      <c r="E166" s="2" t="s">
        <v>337</v>
      </c>
      <c r="F166" s="2" t="s">
        <v>338</v>
      </c>
    </row>
    <row r="167" customFormat="false" ht="15" hidden="false" customHeight="false" outlineLevel="0" collapsed="false">
      <c r="A167" s="2" t="s">
        <v>232</v>
      </c>
      <c r="B167" s="2" t="s">
        <v>322</v>
      </c>
      <c r="C167" s="2" t="s">
        <v>51</v>
      </c>
      <c r="D167" s="2" t="s">
        <v>323</v>
      </c>
      <c r="E167" s="2" t="s">
        <v>324</v>
      </c>
      <c r="F167" s="2" t="s">
        <v>325</v>
      </c>
    </row>
    <row r="168" customFormat="false" ht="15" hidden="false" customHeight="false" outlineLevel="0" collapsed="false">
      <c r="A168" s="2" t="s">
        <v>232</v>
      </c>
      <c r="B168" s="2" t="s">
        <v>329</v>
      </c>
      <c r="C168" s="2" t="s">
        <v>52</v>
      </c>
      <c r="D168" s="2" t="s">
        <v>319</v>
      </c>
      <c r="E168" s="2" t="s">
        <v>330</v>
      </c>
      <c r="F168" s="2" t="s">
        <v>331</v>
      </c>
    </row>
    <row r="169" customFormat="false" ht="15" hidden="false" customHeight="false" outlineLevel="0" collapsed="false">
      <c r="A169" s="2" t="s">
        <v>232</v>
      </c>
      <c r="B169" s="2" t="s">
        <v>332</v>
      </c>
      <c r="C169" s="2" t="s">
        <v>51</v>
      </c>
      <c r="D169" s="2" t="s">
        <v>319</v>
      </c>
      <c r="E169" s="2" t="s">
        <v>333</v>
      </c>
      <c r="F169" s="2" t="s">
        <v>334</v>
      </c>
    </row>
    <row r="170" customFormat="false" ht="15" hidden="false" customHeight="false" outlineLevel="0" collapsed="false">
      <c r="A170" s="2" t="s">
        <v>232</v>
      </c>
      <c r="B170" s="2" t="s">
        <v>329</v>
      </c>
      <c r="C170" s="2" t="s">
        <v>52</v>
      </c>
      <c r="D170" s="2" t="s">
        <v>319</v>
      </c>
      <c r="E170" s="2" t="s">
        <v>335</v>
      </c>
      <c r="F170" s="2" t="s">
        <v>331</v>
      </c>
    </row>
    <row r="171" customFormat="false" ht="15" hidden="false" customHeight="false" outlineLevel="0" collapsed="false">
      <c r="A171" s="2" t="s">
        <v>232</v>
      </c>
      <c r="B171" s="2" t="s">
        <v>336</v>
      </c>
      <c r="C171" s="2" t="s">
        <v>52</v>
      </c>
      <c r="D171" s="2" t="s">
        <v>319</v>
      </c>
      <c r="E171" s="2" t="s">
        <v>337</v>
      </c>
      <c r="F171" s="2" t="s">
        <v>338</v>
      </c>
    </row>
    <row r="172" customFormat="false" ht="15" hidden="false" customHeight="false" outlineLevel="0" collapsed="false">
      <c r="A172" s="2" t="s">
        <v>233</v>
      </c>
      <c r="B172" s="2" t="s">
        <v>378</v>
      </c>
      <c r="C172" s="2" t="s">
        <v>48</v>
      </c>
      <c r="D172" s="2" t="s">
        <v>315</v>
      </c>
      <c r="E172" s="2" t="s">
        <v>379</v>
      </c>
      <c r="F172" s="2" t="s">
        <v>380</v>
      </c>
    </row>
    <row r="173" customFormat="false" ht="15" hidden="false" customHeight="false" outlineLevel="0" collapsed="false">
      <c r="A173" s="2" t="s">
        <v>233</v>
      </c>
      <c r="B173" s="2" t="s">
        <v>329</v>
      </c>
      <c r="C173" s="2" t="s">
        <v>52</v>
      </c>
      <c r="D173" s="2" t="s">
        <v>319</v>
      </c>
      <c r="E173" s="2" t="s">
        <v>330</v>
      </c>
      <c r="F173" s="2" t="s">
        <v>331</v>
      </c>
    </row>
    <row r="174" customFormat="false" ht="15" hidden="false" customHeight="false" outlineLevel="0" collapsed="false">
      <c r="A174" s="2" t="s">
        <v>233</v>
      </c>
      <c r="B174" s="2" t="s">
        <v>339</v>
      </c>
      <c r="C174" s="2" t="s">
        <v>51</v>
      </c>
      <c r="D174" s="2" t="s">
        <v>319</v>
      </c>
      <c r="E174" s="2" t="s">
        <v>340</v>
      </c>
      <c r="F174" s="2" t="s">
        <v>341</v>
      </c>
    </row>
    <row r="175" customFormat="false" ht="15" hidden="false" customHeight="false" outlineLevel="0" collapsed="false">
      <c r="A175" s="2" t="s">
        <v>233</v>
      </c>
      <c r="B175" s="2" t="s">
        <v>329</v>
      </c>
      <c r="C175" s="2" t="s">
        <v>52</v>
      </c>
      <c r="D175" s="2" t="s">
        <v>319</v>
      </c>
      <c r="E175" s="2" t="s">
        <v>335</v>
      </c>
      <c r="F175" s="2" t="s">
        <v>331</v>
      </c>
    </row>
    <row r="176" customFormat="false" ht="15" hidden="false" customHeight="false" outlineLevel="0" collapsed="false">
      <c r="A176" s="2" t="s">
        <v>233</v>
      </c>
      <c r="B176" s="2" t="s">
        <v>336</v>
      </c>
      <c r="C176" s="2" t="s">
        <v>52</v>
      </c>
      <c r="D176" s="2" t="s">
        <v>319</v>
      </c>
      <c r="E176" s="2" t="s">
        <v>337</v>
      </c>
      <c r="F176" s="2" t="s">
        <v>338</v>
      </c>
    </row>
    <row r="177" customFormat="false" ht="15" hidden="false" customHeight="false" outlineLevel="0" collapsed="false">
      <c r="A177" s="2" t="s">
        <v>236</v>
      </c>
      <c r="B177" s="2" t="s">
        <v>318</v>
      </c>
      <c r="C177" s="2" t="s">
        <v>48</v>
      </c>
      <c r="D177" s="2" t="s">
        <v>319</v>
      </c>
      <c r="E177" s="2" t="s">
        <v>320</v>
      </c>
      <c r="F177" s="2" t="s">
        <v>321</v>
      </c>
    </row>
    <row r="178" customFormat="false" ht="15" hidden="false" customHeight="false" outlineLevel="0" collapsed="false">
      <c r="A178" s="2" t="s">
        <v>236</v>
      </c>
      <c r="B178" s="2" t="s">
        <v>329</v>
      </c>
      <c r="C178" s="2" t="s">
        <v>52</v>
      </c>
      <c r="D178" s="2" t="s">
        <v>319</v>
      </c>
      <c r="E178" s="2" t="s">
        <v>330</v>
      </c>
      <c r="F178" s="2" t="s">
        <v>331</v>
      </c>
    </row>
    <row r="179" customFormat="false" ht="15" hidden="false" customHeight="false" outlineLevel="0" collapsed="false">
      <c r="A179" s="2" t="s">
        <v>236</v>
      </c>
      <c r="B179" s="2" t="s">
        <v>339</v>
      </c>
      <c r="C179" s="2" t="s">
        <v>51</v>
      </c>
      <c r="D179" s="2" t="s">
        <v>319</v>
      </c>
      <c r="E179" s="2" t="s">
        <v>340</v>
      </c>
      <c r="F179" s="2" t="s">
        <v>341</v>
      </c>
    </row>
    <row r="180" customFormat="false" ht="15" hidden="false" customHeight="false" outlineLevel="0" collapsed="false">
      <c r="A180" s="2" t="s">
        <v>236</v>
      </c>
      <c r="B180" s="2" t="s">
        <v>332</v>
      </c>
      <c r="C180" s="2" t="s">
        <v>51</v>
      </c>
      <c r="D180" s="2" t="s">
        <v>319</v>
      </c>
      <c r="E180" s="2" t="s">
        <v>333</v>
      </c>
      <c r="F180" s="2" t="s">
        <v>334</v>
      </c>
    </row>
    <row r="181" customFormat="false" ht="15" hidden="false" customHeight="false" outlineLevel="0" collapsed="false">
      <c r="A181" s="2" t="s">
        <v>236</v>
      </c>
      <c r="B181" s="2" t="s">
        <v>329</v>
      </c>
      <c r="C181" s="2" t="s">
        <v>52</v>
      </c>
      <c r="D181" s="2" t="s">
        <v>319</v>
      </c>
      <c r="E181" s="2" t="s">
        <v>335</v>
      </c>
      <c r="F181" s="2" t="s">
        <v>331</v>
      </c>
    </row>
    <row r="182" customFormat="false" ht="15" hidden="false" customHeight="false" outlineLevel="0" collapsed="false">
      <c r="A182" s="2" t="s">
        <v>236</v>
      </c>
      <c r="B182" s="2" t="s">
        <v>336</v>
      </c>
      <c r="C182" s="2" t="s">
        <v>52</v>
      </c>
      <c r="D182" s="2" t="s">
        <v>319</v>
      </c>
      <c r="E182" s="2" t="s">
        <v>352</v>
      </c>
      <c r="F182" s="2" t="s">
        <v>353</v>
      </c>
    </row>
    <row r="183" customFormat="false" ht="15" hidden="false" customHeight="false" outlineLevel="0" collapsed="false">
      <c r="A183" s="2" t="s">
        <v>237</v>
      </c>
      <c r="B183" s="2" t="s">
        <v>381</v>
      </c>
      <c r="C183" s="2" t="s">
        <v>48</v>
      </c>
      <c r="D183" s="2" t="s">
        <v>323</v>
      </c>
      <c r="E183" s="2" t="s">
        <v>379</v>
      </c>
      <c r="F183" s="2" t="s">
        <v>382</v>
      </c>
    </row>
    <row r="184" customFormat="false" ht="15" hidden="false" customHeight="false" outlineLevel="0" collapsed="false">
      <c r="A184" s="2" t="s">
        <v>237</v>
      </c>
      <c r="B184" s="2" t="s">
        <v>318</v>
      </c>
      <c r="C184" s="2" t="s">
        <v>48</v>
      </c>
      <c r="D184" s="2" t="s">
        <v>319</v>
      </c>
      <c r="E184" s="2" t="s">
        <v>320</v>
      </c>
      <c r="F184" s="2" t="s">
        <v>321</v>
      </c>
    </row>
    <row r="185" customFormat="false" ht="15" hidden="false" customHeight="false" outlineLevel="0" collapsed="false">
      <c r="A185" s="2" t="s">
        <v>237</v>
      </c>
      <c r="B185" s="2" t="s">
        <v>326</v>
      </c>
      <c r="C185" s="2" t="s">
        <v>51</v>
      </c>
      <c r="D185" s="2" t="s">
        <v>319</v>
      </c>
      <c r="E185" s="2" t="s">
        <v>327</v>
      </c>
      <c r="F185" s="2" t="s">
        <v>383</v>
      </c>
    </row>
    <row r="186" customFormat="false" ht="15" hidden="false" customHeight="false" outlineLevel="0" collapsed="false">
      <c r="A186" s="2" t="s">
        <v>237</v>
      </c>
      <c r="B186" s="2" t="s">
        <v>329</v>
      </c>
      <c r="C186" s="2" t="s">
        <v>52</v>
      </c>
      <c r="D186" s="2" t="s">
        <v>319</v>
      </c>
      <c r="E186" s="2" t="s">
        <v>330</v>
      </c>
      <c r="F186" s="2" t="s">
        <v>331</v>
      </c>
    </row>
    <row r="187" customFormat="false" ht="15" hidden="false" customHeight="false" outlineLevel="0" collapsed="false">
      <c r="A187" s="2" t="s">
        <v>237</v>
      </c>
      <c r="B187" s="2" t="s">
        <v>332</v>
      </c>
      <c r="C187" s="2" t="s">
        <v>51</v>
      </c>
      <c r="D187" s="2" t="s">
        <v>319</v>
      </c>
      <c r="E187" s="2" t="s">
        <v>333</v>
      </c>
      <c r="F187" s="2" t="s">
        <v>334</v>
      </c>
    </row>
    <row r="188" customFormat="false" ht="15" hidden="false" customHeight="false" outlineLevel="0" collapsed="false">
      <c r="A188" s="2" t="s">
        <v>237</v>
      </c>
      <c r="B188" s="2" t="s">
        <v>329</v>
      </c>
      <c r="C188" s="2" t="s">
        <v>52</v>
      </c>
      <c r="D188" s="2" t="s">
        <v>319</v>
      </c>
      <c r="E188" s="2" t="s">
        <v>335</v>
      </c>
      <c r="F188" s="2" t="s">
        <v>331</v>
      </c>
    </row>
    <row r="189" customFormat="false" ht="15" hidden="false" customHeight="false" outlineLevel="0" collapsed="false">
      <c r="A189" s="2" t="s">
        <v>237</v>
      </c>
      <c r="B189" s="2" t="s">
        <v>336</v>
      </c>
      <c r="C189" s="2" t="s">
        <v>52</v>
      </c>
      <c r="D189" s="2" t="s">
        <v>319</v>
      </c>
      <c r="E189" s="2" t="s">
        <v>337</v>
      </c>
      <c r="F189" s="2" t="s">
        <v>338</v>
      </c>
    </row>
    <row r="190" customFormat="false" ht="15" hidden="false" customHeight="false" outlineLevel="0" collapsed="false">
      <c r="A190" s="2" t="s">
        <v>239</v>
      </c>
      <c r="B190" s="2" t="s">
        <v>384</v>
      </c>
      <c r="C190" s="2" t="s">
        <v>47</v>
      </c>
      <c r="D190" s="2" t="s">
        <v>315</v>
      </c>
      <c r="E190" s="2" t="s">
        <v>344</v>
      </c>
      <c r="F190" s="2" t="s">
        <v>385</v>
      </c>
    </row>
    <row r="191" customFormat="false" ht="15" hidden="false" customHeight="false" outlineLevel="0" collapsed="false">
      <c r="A191" s="2" t="s">
        <v>239</v>
      </c>
      <c r="B191" s="2" t="s">
        <v>386</v>
      </c>
      <c r="C191" s="2" t="s">
        <v>48</v>
      </c>
      <c r="D191" s="2" t="s">
        <v>315</v>
      </c>
      <c r="E191" s="2" t="s">
        <v>344</v>
      </c>
      <c r="F191" s="2" t="s">
        <v>387</v>
      </c>
    </row>
    <row r="192" customFormat="false" ht="15" hidden="false" customHeight="false" outlineLevel="0" collapsed="false">
      <c r="A192" s="2" t="s">
        <v>239</v>
      </c>
      <c r="B192" s="2" t="s">
        <v>318</v>
      </c>
      <c r="C192" s="2" t="s">
        <v>48</v>
      </c>
      <c r="D192" s="2" t="s">
        <v>319</v>
      </c>
      <c r="E192" s="2" t="s">
        <v>320</v>
      </c>
      <c r="F192" s="2" t="s">
        <v>321</v>
      </c>
    </row>
    <row r="193" customFormat="false" ht="15" hidden="false" customHeight="false" outlineLevel="0" collapsed="false">
      <c r="A193" s="2" t="s">
        <v>239</v>
      </c>
      <c r="B193" s="2" t="s">
        <v>329</v>
      </c>
      <c r="C193" s="2" t="s">
        <v>52</v>
      </c>
      <c r="D193" s="2" t="s">
        <v>319</v>
      </c>
      <c r="E193" s="2" t="s">
        <v>330</v>
      </c>
      <c r="F193" s="2" t="s">
        <v>331</v>
      </c>
    </row>
    <row r="194" customFormat="false" ht="15" hidden="false" customHeight="false" outlineLevel="0" collapsed="false">
      <c r="A194" s="2" t="s">
        <v>239</v>
      </c>
      <c r="B194" s="2" t="s">
        <v>329</v>
      </c>
      <c r="C194" s="2" t="s">
        <v>52</v>
      </c>
      <c r="D194" s="2" t="s">
        <v>319</v>
      </c>
      <c r="E194" s="2" t="s">
        <v>335</v>
      </c>
      <c r="F194" s="2" t="s">
        <v>331</v>
      </c>
    </row>
    <row r="195" customFormat="false" ht="15" hidden="false" customHeight="false" outlineLevel="0" collapsed="false">
      <c r="A195" s="2" t="s">
        <v>240</v>
      </c>
      <c r="B195" s="2" t="s">
        <v>318</v>
      </c>
      <c r="C195" s="2" t="s">
        <v>48</v>
      </c>
      <c r="D195" s="2" t="s">
        <v>319</v>
      </c>
      <c r="E195" s="2" t="s">
        <v>320</v>
      </c>
      <c r="F195" s="2" t="s">
        <v>321</v>
      </c>
    </row>
    <row r="196" customFormat="false" ht="15" hidden="false" customHeight="false" outlineLevel="0" collapsed="false">
      <c r="A196" s="2" t="s">
        <v>240</v>
      </c>
      <c r="B196" s="2" t="s">
        <v>322</v>
      </c>
      <c r="C196" s="2" t="s">
        <v>51</v>
      </c>
      <c r="D196" s="2" t="s">
        <v>323</v>
      </c>
      <c r="E196" s="2" t="s">
        <v>324</v>
      </c>
      <c r="F196" s="2" t="s">
        <v>325</v>
      </c>
    </row>
    <row r="197" customFormat="false" ht="15" hidden="false" customHeight="false" outlineLevel="0" collapsed="false">
      <c r="A197" s="2" t="s">
        <v>240</v>
      </c>
      <c r="B197" s="2" t="s">
        <v>326</v>
      </c>
      <c r="C197" s="2" t="s">
        <v>51</v>
      </c>
      <c r="D197" s="2" t="s">
        <v>319</v>
      </c>
      <c r="E197" s="2" t="s">
        <v>327</v>
      </c>
      <c r="F197" s="2" t="s">
        <v>388</v>
      </c>
    </row>
    <row r="198" customFormat="false" ht="15" hidden="false" customHeight="false" outlineLevel="0" collapsed="false">
      <c r="A198" s="2" t="s">
        <v>240</v>
      </c>
      <c r="B198" s="2" t="s">
        <v>329</v>
      </c>
      <c r="C198" s="2" t="s">
        <v>52</v>
      </c>
      <c r="D198" s="2" t="s">
        <v>319</v>
      </c>
      <c r="E198" s="2" t="s">
        <v>330</v>
      </c>
      <c r="F198" s="2" t="s">
        <v>331</v>
      </c>
    </row>
    <row r="199" customFormat="false" ht="15" hidden="false" customHeight="false" outlineLevel="0" collapsed="false">
      <c r="A199" s="2" t="s">
        <v>240</v>
      </c>
      <c r="B199" s="2" t="s">
        <v>332</v>
      </c>
      <c r="C199" s="2" t="s">
        <v>51</v>
      </c>
      <c r="D199" s="2" t="s">
        <v>319</v>
      </c>
      <c r="E199" s="2" t="s">
        <v>333</v>
      </c>
      <c r="F199" s="2" t="s">
        <v>334</v>
      </c>
    </row>
    <row r="200" customFormat="false" ht="15" hidden="false" customHeight="false" outlineLevel="0" collapsed="false">
      <c r="A200" s="2" t="s">
        <v>240</v>
      </c>
      <c r="B200" s="2" t="s">
        <v>329</v>
      </c>
      <c r="C200" s="2" t="s">
        <v>52</v>
      </c>
      <c r="D200" s="2" t="s">
        <v>319</v>
      </c>
      <c r="E200" s="2" t="s">
        <v>335</v>
      </c>
      <c r="F200" s="2" t="s">
        <v>331</v>
      </c>
    </row>
    <row r="201" customFormat="false" ht="15" hidden="false" customHeight="false" outlineLevel="0" collapsed="false">
      <c r="A201" s="2" t="s">
        <v>240</v>
      </c>
      <c r="B201" s="2" t="s">
        <v>336</v>
      </c>
      <c r="C201" s="2" t="s">
        <v>52</v>
      </c>
      <c r="D201" s="2" t="s">
        <v>319</v>
      </c>
      <c r="E201" s="2" t="s">
        <v>337</v>
      </c>
      <c r="F201" s="2" t="s">
        <v>338</v>
      </c>
    </row>
    <row r="202" customFormat="false" ht="15" hidden="false" customHeight="false" outlineLevel="0" collapsed="false">
      <c r="A202" s="2" t="s">
        <v>242</v>
      </c>
      <c r="B202" s="2" t="s">
        <v>318</v>
      </c>
      <c r="C202" s="2" t="s">
        <v>48</v>
      </c>
      <c r="D202" s="2" t="s">
        <v>319</v>
      </c>
      <c r="E202" s="2" t="s">
        <v>320</v>
      </c>
      <c r="F202" s="2" t="s">
        <v>321</v>
      </c>
    </row>
    <row r="203" customFormat="false" ht="15" hidden="false" customHeight="false" outlineLevel="0" collapsed="false">
      <c r="A203" s="2" t="s">
        <v>242</v>
      </c>
      <c r="B203" s="2" t="s">
        <v>326</v>
      </c>
      <c r="C203" s="2" t="s">
        <v>51</v>
      </c>
      <c r="D203" s="2" t="s">
        <v>319</v>
      </c>
      <c r="E203" s="2" t="s">
        <v>327</v>
      </c>
      <c r="F203" s="2" t="s">
        <v>389</v>
      </c>
    </row>
    <row r="204" customFormat="false" ht="15" hidden="false" customHeight="false" outlineLevel="0" collapsed="false">
      <c r="A204" s="2" t="s">
        <v>242</v>
      </c>
      <c r="B204" s="2" t="s">
        <v>329</v>
      </c>
      <c r="C204" s="2" t="s">
        <v>52</v>
      </c>
      <c r="D204" s="2" t="s">
        <v>319</v>
      </c>
      <c r="E204" s="2" t="s">
        <v>330</v>
      </c>
      <c r="F204" s="2" t="s">
        <v>331</v>
      </c>
    </row>
    <row r="205" customFormat="false" ht="15" hidden="false" customHeight="false" outlineLevel="0" collapsed="false">
      <c r="A205" s="2" t="s">
        <v>242</v>
      </c>
      <c r="B205" s="2" t="s">
        <v>339</v>
      </c>
      <c r="C205" s="2" t="s">
        <v>51</v>
      </c>
      <c r="D205" s="2" t="s">
        <v>319</v>
      </c>
      <c r="E205" s="2" t="s">
        <v>340</v>
      </c>
      <c r="F205" s="2" t="s">
        <v>341</v>
      </c>
    </row>
    <row r="206" customFormat="false" ht="15" hidden="false" customHeight="false" outlineLevel="0" collapsed="false">
      <c r="A206" s="2" t="s">
        <v>242</v>
      </c>
      <c r="B206" s="2" t="s">
        <v>329</v>
      </c>
      <c r="C206" s="2" t="s">
        <v>52</v>
      </c>
      <c r="D206" s="2" t="s">
        <v>319</v>
      </c>
      <c r="E206" s="2" t="s">
        <v>335</v>
      </c>
      <c r="F206" s="2" t="s">
        <v>331</v>
      </c>
    </row>
    <row r="207" customFormat="false" ht="15" hidden="false" customHeight="false" outlineLevel="0" collapsed="false">
      <c r="A207" s="2" t="s">
        <v>242</v>
      </c>
      <c r="B207" s="2" t="s">
        <v>336</v>
      </c>
      <c r="C207" s="2" t="s">
        <v>52</v>
      </c>
      <c r="D207" s="2" t="s">
        <v>319</v>
      </c>
      <c r="E207" s="2" t="s">
        <v>337</v>
      </c>
      <c r="F207" s="2" t="s">
        <v>338</v>
      </c>
    </row>
    <row r="208" customFormat="false" ht="15" hidden="false" customHeight="false" outlineLevel="0" collapsed="false">
      <c r="A208" s="2" t="s">
        <v>243</v>
      </c>
      <c r="B208" s="2" t="s">
        <v>318</v>
      </c>
      <c r="C208" s="2" t="s">
        <v>48</v>
      </c>
      <c r="D208" s="2" t="s">
        <v>319</v>
      </c>
      <c r="E208" s="2" t="s">
        <v>320</v>
      </c>
      <c r="F208" s="2" t="s">
        <v>321</v>
      </c>
    </row>
    <row r="209" customFormat="false" ht="15" hidden="false" customHeight="false" outlineLevel="0" collapsed="false">
      <c r="A209" s="2" t="s">
        <v>243</v>
      </c>
      <c r="B209" s="2" t="s">
        <v>329</v>
      </c>
      <c r="C209" s="2" t="s">
        <v>52</v>
      </c>
      <c r="D209" s="2" t="s">
        <v>319</v>
      </c>
      <c r="E209" s="2" t="s">
        <v>330</v>
      </c>
      <c r="F209" s="2" t="s">
        <v>331</v>
      </c>
    </row>
    <row r="210" customFormat="false" ht="15" hidden="false" customHeight="false" outlineLevel="0" collapsed="false">
      <c r="A210" s="2" t="s">
        <v>243</v>
      </c>
      <c r="B210" s="2" t="s">
        <v>332</v>
      </c>
      <c r="C210" s="2" t="s">
        <v>51</v>
      </c>
      <c r="D210" s="2" t="s">
        <v>319</v>
      </c>
      <c r="E210" s="2" t="s">
        <v>333</v>
      </c>
      <c r="F210" s="2" t="s">
        <v>334</v>
      </c>
    </row>
    <row r="211" customFormat="false" ht="15" hidden="false" customHeight="false" outlineLevel="0" collapsed="false">
      <c r="A211" s="2" t="s">
        <v>243</v>
      </c>
      <c r="B211" s="2" t="s">
        <v>369</v>
      </c>
      <c r="C211" s="2" t="s">
        <v>50</v>
      </c>
      <c r="D211" s="2" t="s">
        <v>323</v>
      </c>
      <c r="E211" s="2" t="s">
        <v>370</v>
      </c>
      <c r="F211" s="2" t="s">
        <v>371</v>
      </c>
    </row>
    <row r="212" customFormat="false" ht="15" hidden="false" customHeight="false" outlineLevel="0" collapsed="false">
      <c r="A212" s="2" t="s">
        <v>243</v>
      </c>
      <c r="B212" s="2" t="s">
        <v>329</v>
      </c>
      <c r="C212" s="2" t="s">
        <v>52</v>
      </c>
      <c r="D212" s="2" t="s">
        <v>319</v>
      </c>
      <c r="E212" s="2" t="s">
        <v>335</v>
      </c>
      <c r="F212" s="2" t="s">
        <v>331</v>
      </c>
    </row>
    <row r="213" customFormat="false" ht="15" hidden="false" customHeight="false" outlineLevel="0" collapsed="false">
      <c r="A213" s="2" t="s">
        <v>243</v>
      </c>
      <c r="B213" s="2" t="s">
        <v>336</v>
      </c>
      <c r="C213" s="2" t="s">
        <v>52</v>
      </c>
      <c r="D213" s="2" t="s">
        <v>319</v>
      </c>
      <c r="E213" s="2" t="s">
        <v>337</v>
      </c>
      <c r="F213" s="2" t="s">
        <v>338</v>
      </c>
    </row>
    <row r="214" customFormat="false" ht="15" hidden="false" customHeight="false" outlineLevel="0" collapsed="false">
      <c r="A214" s="2" t="s">
        <v>244</v>
      </c>
      <c r="B214" s="2" t="s">
        <v>360</v>
      </c>
      <c r="C214" s="2" t="s">
        <v>48</v>
      </c>
      <c r="D214" s="2" t="s">
        <v>315</v>
      </c>
      <c r="E214" s="2" t="s">
        <v>390</v>
      </c>
      <c r="F214" s="2" t="s">
        <v>391</v>
      </c>
    </row>
    <row r="215" customFormat="false" ht="15" hidden="false" customHeight="false" outlineLevel="0" collapsed="false">
      <c r="A215" s="2" t="s">
        <v>244</v>
      </c>
      <c r="B215" s="2" t="s">
        <v>318</v>
      </c>
      <c r="C215" s="2" t="s">
        <v>48</v>
      </c>
      <c r="D215" s="2" t="s">
        <v>319</v>
      </c>
      <c r="E215" s="2" t="s">
        <v>320</v>
      </c>
      <c r="F215" s="2" t="s">
        <v>321</v>
      </c>
    </row>
    <row r="216" customFormat="false" ht="15" hidden="false" customHeight="false" outlineLevel="0" collapsed="false">
      <c r="A216" s="2" t="s">
        <v>244</v>
      </c>
      <c r="B216" s="2" t="s">
        <v>322</v>
      </c>
      <c r="C216" s="2" t="s">
        <v>51</v>
      </c>
      <c r="D216" s="2" t="s">
        <v>323</v>
      </c>
      <c r="E216" s="2" t="s">
        <v>324</v>
      </c>
      <c r="F216" s="2" t="s">
        <v>325</v>
      </c>
    </row>
    <row r="217" customFormat="false" ht="15" hidden="false" customHeight="false" outlineLevel="0" collapsed="false">
      <c r="A217" s="2" t="s">
        <v>244</v>
      </c>
      <c r="B217" s="2" t="s">
        <v>329</v>
      </c>
      <c r="C217" s="2" t="s">
        <v>52</v>
      </c>
      <c r="D217" s="2" t="s">
        <v>319</v>
      </c>
      <c r="E217" s="2" t="s">
        <v>330</v>
      </c>
      <c r="F217" s="2" t="s">
        <v>331</v>
      </c>
    </row>
    <row r="218" customFormat="false" ht="15" hidden="false" customHeight="false" outlineLevel="0" collapsed="false">
      <c r="A218" s="2" t="s">
        <v>244</v>
      </c>
      <c r="B218" s="2" t="s">
        <v>332</v>
      </c>
      <c r="C218" s="2" t="s">
        <v>51</v>
      </c>
      <c r="D218" s="2" t="s">
        <v>319</v>
      </c>
      <c r="E218" s="2" t="s">
        <v>333</v>
      </c>
      <c r="F218" s="2" t="s">
        <v>334</v>
      </c>
    </row>
    <row r="219" customFormat="false" ht="15" hidden="false" customHeight="false" outlineLevel="0" collapsed="false">
      <c r="A219" s="2" t="s">
        <v>244</v>
      </c>
      <c r="B219" s="2" t="s">
        <v>329</v>
      </c>
      <c r="C219" s="2" t="s">
        <v>52</v>
      </c>
      <c r="D219" s="2" t="s">
        <v>319</v>
      </c>
      <c r="E219" s="2" t="s">
        <v>335</v>
      </c>
      <c r="F219" s="2" t="s">
        <v>331</v>
      </c>
    </row>
    <row r="220" customFormat="false" ht="15" hidden="false" customHeight="false" outlineLevel="0" collapsed="false">
      <c r="A220" s="2" t="s">
        <v>244</v>
      </c>
      <c r="B220" s="2" t="s">
        <v>336</v>
      </c>
      <c r="C220" s="2" t="s">
        <v>52</v>
      </c>
      <c r="D220" s="2" t="s">
        <v>319</v>
      </c>
      <c r="E220" s="2" t="s">
        <v>337</v>
      </c>
      <c r="F220" s="2" t="s">
        <v>338</v>
      </c>
    </row>
    <row r="221" customFormat="false" ht="15" hidden="false" customHeight="false" outlineLevel="0" collapsed="false">
      <c r="A221" s="2" t="s">
        <v>245</v>
      </c>
      <c r="B221" s="2" t="s">
        <v>318</v>
      </c>
      <c r="C221" s="2" t="s">
        <v>48</v>
      </c>
      <c r="D221" s="2" t="s">
        <v>319</v>
      </c>
      <c r="E221" s="2" t="s">
        <v>320</v>
      </c>
      <c r="F221" s="2" t="s">
        <v>321</v>
      </c>
    </row>
    <row r="222" customFormat="false" ht="15" hidden="false" customHeight="false" outlineLevel="0" collapsed="false">
      <c r="A222" s="2" t="s">
        <v>245</v>
      </c>
      <c r="B222" s="2" t="s">
        <v>322</v>
      </c>
      <c r="C222" s="2" t="s">
        <v>51</v>
      </c>
      <c r="D222" s="2" t="s">
        <v>323</v>
      </c>
      <c r="E222" s="2" t="s">
        <v>324</v>
      </c>
      <c r="F222" s="2" t="s">
        <v>325</v>
      </c>
    </row>
    <row r="223" customFormat="false" ht="15" hidden="false" customHeight="false" outlineLevel="0" collapsed="false">
      <c r="A223" s="2" t="s">
        <v>245</v>
      </c>
      <c r="B223" s="2" t="s">
        <v>326</v>
      </c>
      <c r="C223" s="2" t="s">
        <v>51</v>
      </c>
      <c r="D223" s="2" t="s">
        <v>319</v>
      </c>
      <c r="E223" s="2" t="s">
        <v>327</v>
      </c>
      <c r="F223" s="2" t="s">
        <v>383</v>
      </c>
    </row>
    <row r="224" customFormat="false" ht="15" hidden="false" customHeight="false" outlineLevel="0" collapsed="false">
      <c r="A224" s="2" t="s">
        <v>245</v>
      </c>
      <c r="B224" s="2" t="s">
        <v>329</v>
      </c>
      <c r="C224" s="2" t="s">
        <v>52</v>
      </c>
      <c r="D224" s="2" t="s">
        <v>319</v>
      </c>
      <c r="E224" s="2" t="s">
        <v>330</v>
      </c>
      <c r="F224" s="2" t="s">
        <v>331</v>
      </c>
    </row>
    <row r="225" customFormat="false" ht="15" hidden="false" customHeight="false" outlineLevel="0" collapsed="false">
      <c r="A225" s="2" t="s">
        <v>245</v>
      </c>
      <c r="B225" s="2" t="s">
        <v>332</v>
      </c>
      <c r="C225" s="2" t="s">
        <v>51</v>
      </c>
      <c r="D225" s="2" t="s">
        <v>319</v>
      </c>
      <c r="E225" s="2" t="s">
        <v>333</v>
      </c>
      <c r="F225" s="2" t="s">
        <v>334</v>
      </c>
    </row>
    <row r="226" customFormat="false" ht="15" hidden="false" customHeight="false" outlineLevel="0" collapsed="false">
      <c r="A226" s="2" t="s">
        <v>245</v>
      </c>
      <c r="B226" s="2" t="s">
        <v>329</v>
      </c>
      <c r="C226" s="2" t="s">
        <v>52</v>
      </c>
      <c r="D226" s="2" t="s">
        <v>319</v>
      </c>
      <c r="E226" s="2" t="s">
        <v>335</v>
      </c>
      <c r="F226" s="2" t="s">
        <v>331</v>
      </c>
    </row>
    <row r="227" customFormat="false" ht="15" hidden="false" customHeight="false" outlineLevel="0" collapsed="false">
      <c r="A227" s="2" t="s">
        <v>245</v>
      </c>
      <c r="B227" s="2" t="s">
        <v>336</v>
      </c>
      <c r="C227" s="2" t="s">
        <v>52</v>
      </c>
      <c r="D227" s="2" t="s">
        <v>319</v>
      </c>
      <c r="E227" s="2" t="s">
        <v>337</v>
      </c>
      <c r="F227" s="2" t="s">
        <v>338</v>
      </c>
    </row>
    <row r="228" customFormat="false" ht="15" hidden="false" customHeight="false" outlineLevel="0" collapsed="false">
      <c r="A228" s="2" t="s">
        <v>246</v>
      </c>
      <c r="B228" s="2" t="s">
        <v>318</v>
      </c>
      <c r="C228" s="2" t="s">
        <v>48</v>
      </c>
      <c r="D228" s="2" t="s">
        <v>319</v>
      </c>
      <c r="E228" s="2" t="s">
        <v>320</v>
      </c>
      <c r="F228" s="2" t="s">
        <v>321</v>
      </c>
    </row>
    <row r="229" customFormat="false" ht="15" hidden="false" customHeight="false" outlineLevel="0" collapsed="false">
      <c r="A229" s="2" t="s">
        <v>246</v>
      </c>
      <c r="B229" s="2" t="s">
        <v>322</v>
      </c>
      <c r="C229" s="2" t="s">
        <v>51</v>
      </c>
      <c r="D229" s="2" t="s">
        <v>323</v>
      </c>
      <c r="E229" s="2" t="s">
        <v>324</v>
      </c>
      <c r="F229" s="2" t="s">
        <v>325</v>
      </c>
    </row>
    <row r="230" customFormat="false" ht="15" hidden="false" customHeight="false" outlineLevel="0" collapsed="false">
      <c r="A230" s="2" t="s">
        <v>246</v>
      </c>
      <c r="B230" s="2" t="s">
        <v>329</v>
      </c>
      <c r="C230" s="2" t="s">
        <v>52</v>
      </c>
      <c r="D230" s="2" t="s">
        <v>319</v>
      </c>
      <c r="E230" s="2" t="s">
        <v>330</v>
      </c>
      <c r="F230" s="2" t="s">
        <v>331</v>
      </c>
    </row>
    <row r="231" customFormat="false" ht="15" hidden="false" customHeight="false" outlineLevel="0" collapsed="false">
      <c r="A231" s="2" t="s">
        <v>246</v>
      </c>
      <c r="B231" s="2" t="s">
        <v>332</v>
      </c>
      <c r="C231" s="2" t="s">
        <v>51</v>
      </c>
      <c r="D231" s="2" t="s">
        <v>319</v>
      </c>
      <c r="E231" s="2" t="s">
        <v>333</v>
      </c>
      <c r="F231" s="2" t="s">
        <v>334</v>
      </c>
    </row>
    <row r="232" customFormat="false" ht="15" hidden="false" customHeight="false" outlineLevel="0" collapsed="false">
      <c r="A232" s="2" t="s">
        <v>246</v>
      </c>
      <c r="B232" s="2" t="s">
        <v>329</v>
      </c>
      <c r="C232" s="2" t="s">
        <v>52</v>
      </c>
      <c r="D232" s="2" t="s">
        <v>319</v>
      </c>
      <c r="E232" s="2" t="s">
        <v>335</v>
      </c>
      <c r="F232" s="2" t="s">
        <v>331</v>
      </c>
    </row>
    <row r="233" customFormat="false" ht="15" hidden="false" customHeight="false" outlineLevel="0" collapsed="false">
      <c r="A233" s="2" t="s">
        <v>247</v>
      </c>
      <c r="B233" s="2" t="s">
        <v>329</v>
      </c>
      <c r="C233" s="2" t="s">
        <v>52</v>
      </c>
      <c r="D233" s="2" t="s">
        <v>319</v>
      </c>
      <c r="E233" s="2" t="s">
        <v>330</v>
      </c>
      <c r="F233" s="2" t="s">
        <v>331</v>
      </c>
    </row>
    <row r="234" customFormat="false" ht="15" hidden="false" customHeight="false" outlineLevel="0" collapsed="false">
      <c r="A234" s="2" t="s">
        <v>247</v>
      </c>
      <c r="B234" s="2" t="s">
        <v>332</v>
      </c>
      <c r="C234" s="2" t="s">
        <v>51</v>
      </c>
      <c r="D234" s="2" t="s">
        <v>319</v>
      </c>
      <c r="E234" s="2" t="s">
        <v>333</v>
      </c>
      <c r="F234" s="2" t="s">
        <v>334</v>
      </c>
    </row>
    <row r="235" customFormat="false" ht="15" hidden="false" customHeight="false" outlineLevel="0" collapsed="false">
      <c r="A235" s="2" t="s">
        <v>247</v>
      </c>
      <c r="B235" s="2" t="s">
        <v>329</v>
      </c>
      <c r="C235" s="2" t="s">
        <v>52</v>
      </c>
      <c r="D235" s="2" t="s">
        <v>319</v>
      </c>
      <c r="E235" s="2" t="s">
        <v>335</v>
      </c>
      <c r="F235" s="2" t="s">
        <v>331</v>
      </c>
    </row>
    <row r="236" customFormat="false" ht="15" hidden="false" customHeight="false" outlineLevel="0" collapsed="false">
      <c r="A236" s="2" t="s">
        <v>247</v>
      </c>
      <c r="B236" s="2" t="s">
        <v>336</v>
      </c>
      <c r="C236" s="2" t="s">
        <v>52</v>
      </c>
      <c r="D236" s="2" t="s">
        <v>319</v>
      </c>
      <c r="E236" s="2" t="s">
        <v>337</v>
      </c>
      <c r="F236" s="2" t="s">
        <v>338</v>
      </c>
    </row>
    <row r="237" customFormat="false" ht="15" hidden="false" customHeight="false" outlineLevel="0" collapsed="false">
      <c r="A237" s="2" t="s">
        <v>248</v>
      </c>
      <c r="B237" s="2" t="s">
        <v>381</v>
      </c>
      <c r="C237" s="2" t="s">
        <v>48</v>
      </c>
      <c r="D237" s="2" t="s">
        <v>323</v>
      </c>
      <c r="E237" s="2" t="s">
        <v>392</v>
      </c>
      <c r="F237" s="2" t="s">
        <v>393</v>
      </c>
    </row>
    <row r="238" customFormat="false" ht="15" hidden="false" customHeight="false" outlineLevel="0" collapsed="false">
      <c r="A238" s="2" t="s">
        <v>248</v>
      </c>
      <c r="B238" s="2" t="s">
        <v>318</v>
      </c>
      <c r="C238" s="2" t="s">
        <v>48</v>
      </c>
      <c r="D238" s="2" t="s">
        <v>319</v>
      </c>
      <c r="E238" s="2" t="s">
        <v>320</v>
      </c>
      <c r="F238" s="2" t="s">
        <v>321</v>
      </c>
    </row>
    <row r="239" customFormat="false" ht="15" hidden="false" customHeight="false" outlineLevel="0" collapsed="false">
      <c r="A239" s="2" t="s">
        <v>248</v>
      </c>
      <c r="B239" s="2" t="s">
        <v>329</v>
      </c>
      <c r="C239" s="2" t="s">
        <v>52</v>
      </c>
      <c r="D239" s="2" t="s">
        <v>319</v>
      </c>
      <c r="E239" s="2" t="s">
        <v>330</v>
      </c>
      <c r="F239" s="2" t="s">
        <v>331</v>
      </c>
    </row>
    <row r="240" customFormat="false" ht="15" hidden="false" customHeight="false" outlineLevel="0" collapsed="false">
      <c r="A240" s="2" t="s">
        <v>248</v>
      </c>
      <c r="B240" s="2" t="s">
        <v>339</v>
      </c>
      <c r="C240" s="2" t="s">
        <v>51</v>
      </c>
      <c r="D240" s="2" t="s">
        <v>319</v>
      </c>
      <c r="E240" s="2" t="s">
        <v>340</v>
      </c>
      <c r="F240" s="2" t="s">
        <v>341</v>
      </c>
    </row>
    <row r="241" customFormat="false" ht="15" hidden="false" customHeight="false" outlineLevel="0" collapsed="false">
      <c r="A241" s="2" t="s">
        <v>248</v>
      </c>
      <c r="B241" s="2" t="s">
        <v>332</v>
      </c>
      <c r="C241" s="2" t="s">
        <v>51</v>
      </c>
      <c r="D241" s="2" t="s">
        <v>319</v>
      </c>
      <c r="E241" s="2" t="s">
        <v>333</v>
      </c>
      <c r="F241" s="2" t="s">
        <v>334</v>
      </c>
    </row>
    <row r="242" customFormat="false" ht="15" hidden="false" customHeight="false" outlineLevel="0" collapsed="false">
      <c r="A242" s="2" t="s">
        <v>248</v>
      </c>
      <c r="B242" s="2" t="s">
        <v>329</v>
      </c>
      <c r="C242" s="2" t="s">
        <v>52</v>
      </c>
      <c r="D242" s="2" t="s">
        <v>319</v>
      </c>
      <c r="E242" s="2" t="s">
        <v>335</v>
      </c>
      <c r="F242" s="2" t="s">
        <v>331</v>
      </c>
    </row>
    <row r="243" customFormat="false" ht="15" hidden="false" customHeight="false" outlineLevel="0" collapsed="false">
      <c r="A243" s="2" t="s">
        <v>249</v>
      </c>
      <c r="B243" s="2" t="s">
        <v>394</v>
      </c>
      <c r="C243" s="2" t="s">
        <v>48</v>
      </c>
      <c r="D243" s="2" t="s">
        <v>315</v>
      </c>
      <c r="E243" s="2" t="s">
        <v>395</v>
      </c>
      <c r="F243" s="2" t="s">
        <v>396</v>
      </c>
    </row>
    <row r="244" customFormat="false" ht="15" hidden="false" customHeight="false" outlineLevel="0" collapsed="false">
      <c r="A244" s="2" t="s">
        <v>249</v>
      </c>
      <c r="B244" s="2" t="s">
        <v>360</v>
      </c>
      <c r="C244" s="2" t="s">
        <v>48</v>
      </c>
      <c r="D244" s="2" t="s">
        <v>315</v>
      </c>
      <c r="E244" s="2" t="s">
        <v>395</v>
      </c>
      <c r="F244" s="2" t="s">
        <v>397</v>
      </c>
    </row>
    <row r="245" customFormat="false" ht="15" hidden="false" customHeight="false" outlineLevel="0" collapsed="false">
      <c r="A245" s="2" t="s">
        <v>249</v>
      </c>
      <c r="B245" s="2" t="s">
        <v>329</v>
      </c>
      <c r="C245" s="2" t="s">
        <v>52</v>
      </c>
      <c r="D245" s="2" t="s">
        <v>319</v>
      </c>
      <c r="E245" s="2" t="s">
        <v>330</v>
      </c>
      <c r="F245" s="2" t="s">
        <v>331</v>
      </c>
    </row>
    <row r="246" customFormat="false" ht="15" hidden="false" customHeight="false" outlineLevel="0" collapsed="false">
      <c r="A246" s="2" t="s">
        <v>249</v>
      </c>
      <c r="B246" s="2" t="s">
        <v>329</v>
      </c>
      <c r="C246" s="2" t="s">
        <v>52</v>
      </c>
      <c r="D246" s="2" t="s">
        <v>319</v>
      </c>
      <c r="E246" s="2" t="s">
        <v>335</v>
      </c>
      <c r="F246" s="2" t="s">
        <v>331</v>
      </c>
    </row>
    <row r="247" customFormat="false" ht="15" hidden="false" customHeight="false" outlineLevel="0" collapsed="false">
      <c r="A247" s="2" t="s">
        <v>251</v>
      </c>
      <c r="B247" s="2" t="s">
        <v>318</v>
      </c>
      <c r="C247" s="2" t="s">
        <v>48</v>
      </c>
      <c r="D247" s="2" t="s">
        <v>319</v>
      </c>
      <c r="E247" s="2" t="s">
        <v>320</v>
      </c>
      <c r="F247" s="2" t="s">
        <v>321</v>
      </c>
    </row>
    <row r="248" customFormat="false" ht="15" hidden="false" customHeight="false" outlineLevel="0" collapsed="false">
      <c r="A248" s="2" t="s">
        <v>251</v>
      </c>
      <c r="B248" s="2" t="s">
        <v>329</v>
      </c>
      <c r="C248" s="2" t="s">
        <v>52</v>
      </c>
      <c r="D248" s="2" t="s">
        <v>319</v>
      </c>
      <c r="E248" s="2" t="s">
        <v>330</v>
      </c>
      <c r="F248" s="2" t="s">
        <v>331</v>
      </c>
    </row>
    <row r="249" customFormat="false" ht="15" hidden="false" customHeight="false" outlineLevel="0" collapsed="false">
      <c r="A249" s="2" t="s">
        <v>251</v>
      </c>
      <c r="B249" s="2" t="s">
        <v>332</v>
      </c>
      <c r="C249" s="2" t="s">
        <v>51</v>
      </c>
      <c r="D249" s="2" t="s">
        <v>319</v>
      </c>
      <c r="E249" s="2" t="s">
        <v>333</v>
      </c>
      <c r="F249" s="2" t="s">
        <v>334</v>
      </c>
    </row>
    <row r="250" customFormat="false" ht="15" hidden="false" customHeight="false" outlineLevel="0" collapsed="false">
      <c r="A250" s="2" t="s">
        <v>251</v>
      </c>
      <c r="B250" s="2" t="s">
        <v>329</v>
      </c>
      <c r="C250" s="2" t="s">
        <v>52</v>
      </c>
      <c r="D250" s="2" t="s">
        <v>319</v>
      </c>
      <c r="E250" s="2" t="s">
        <v>335</v>
      </c>
      <c r="F250" s="2" t="s">
        <v>331</v>
      </c>
    </row>
    <row r="251" customFormat="false" ht="15" hidden="false" customHeight="false" outlineLevel="0" collapsed="false">
      <c r="A251" s="2" t="s">
        <v>252</v>
      </c>
      <c r="B251" s="2" t="s">
        <v>318</v>
      </c>
      <c r="C251" s="2" t="s">
        <v>48</v>
      </c>
      <c r="D251" s="2" t="s">
        <v>319</v>
      </c>
      <c r="E251" s="2" t="s">
        <v>320</v>
      </c>
      <c r="F251" s="2" t="s">
        <v>321</v>
      </c>
    </row>
    <row r="252" customFormat="false" ht="15" hidden="false" customHeight="false" outlineLevel="0" collapsed="false">
      <c r="A252" s="2" t="s">
        <v>252</v>
      </c>
      <c r="B252" s="2" t="s">
        <v>322</v>
      </c>
      <c r="C252" s="2" t="s">
        <v>51</v>
      </c>
      <c r="D252" s="2" t="s">
        <v>323</v>
      </c>
      <c r="E252" s="2" t="s">
        <v>324</v>
      </c>
      <c r="F252" s="2" t="s">
        <v>325</v>
      </c>
    </row>
    <row r="253" customFormat="false" ht="15" hidden="false" customHeight="false" outlineLevel="0" collapsed="false">
      <c r="A253" s="2" t="s">
        <v>252</v>
      </c>
      <c r="B253" s="2" t="s">
        <v>329</v>
      </c>
      <c r="C253" s="2" t="s">
        <v>52</v>
      </c>
      <c r="D253" s="2" t="s">
        <v>319</v>
      </c>
      <c r="E253" s="2" t="s">
        <v>330</v>
      </c>
      <c r="F253" s="2" t="s">
        <v>331</v>
      </c>
    </row>
    <row r="254" customFormat="false" ht="15" hidden="false" customHeight="false" outlineLevel="0" collapsed="false">
      <c r="A254" s="2" t="s">
        <v>252</v>
      </c>
      <c r="B254" s="2" t="s">
        <v>339</v>
      </c>
      <c r="C254" s="2" t="s">
        <v>51</v>
      </c>
      <c r="D254" s="2" t="s">
        <v>319</v>
      </c>
      <c r="E254" s="2" t="s">
        <v>340</v>
      </c>
      <c r="F254" s="2" t="s">
        <v>341</v>
      </c>
    </row>
    <row r="255" customFormat="false" ht="15" hidden="false" customHeight="false" outlineLevel="0" collapsed="false">
      <c r="A255" s="2" t="s">
        <v>252</v>
      </c>
      <c r="B255" s="2" t="s">
        <v>332</v>
      </c>
      <c r="C255" s="2" t="s">
        <v>51</v>
      </c>
      <c r="D255" s="2" t="s">
        <v>319</v>
      </c>
      <c r="E255" s="2" t="s">
        <v>333</v>
      </c>
      <c r="F255" s="2" t="s">
        <v>334</v>
      </c>
    </row>
    <row r="256" customFormat="false" ht="15" hidden="false" customHeight="false" outlineLevel="0" collapsed="false">
      <c r="A256" s="2" t="s">
        <v>252</v>
      </c>
      <c r="B256" s="2" t="s">
        <v>329</v>
      </c>
      <c r="C256" s="2" t="s">
        <v>52</v>
      </c>
      <c r="D256" s="2" t="s">
        <v>319</v>
      </c>
      <c r="E256" s="2" t="s">
        <v>335</v>
      </c>
      <c r="F256" s="2" t="s">
        <v>331</v>
      </c>
    </row>
    <row r="257" customFormat="false" ht="15" hidden="false" customHeight="false" outlineLevel="0" collapsed="false">
      <c r="A257" s="2" t="s">
        <v>253</v>
      </c>
      <c r="B257" s="2" t="s">
        <v>329</v>
      </c>
      <c r="C257" s="2" t="s">
        <v>52</v>
      </c>
      <c r="D257" s="2" t="s">
        <v>319</v>
      </c>
      <c r="E257" s="2" t="s">
        <v>330</v>
      </c>
      <c r="F257" s="2" t="s">
        <v>331</v>
      </c>
    </row>
    <row r="258" customFormat="false" ht="15" hidden="false" customHeight="false" outlineLevel="0" collapsed="false">
      <c r="A258" s="2" t="s">
        <v>253</v>
      </c>
      <c r="B258" s="2" t="s">
        <v>339</v>
      </c>
      <c r="C258" s="2" t="s">
        <v>51</v>
      </c>
      <c r="D258" s="2" t="s">
        <v>319</v>
      </c>
      <c r="E258" s="2" t="s">
        <v>340</v>
      </c>
      <c r="F258" s="2" t="s">
        <v>341</v>
      </c>
    </row>
    <row r="259" customFormat="false" ht="15" hidden="false" customHeight="false" outlineLevel="0" collapsed="false">
      <c r="A259" s="2" t="s">
        <v>253</v>
      </c>
      <c r="B259" s="2" t="s">
        <v>329</v>
      </c>
      <c r="C259" s="2" t="s">
        <v>52</v>
      </c>
      <c r="D259" s="2" t="s">
        <v>319</v>
      </c>
      <c r="E259" s="2" t="s">
        <v>335</v>
      </c>
      <c r="F259" s="2" t="s">
        <v>331</v>
      </c>
    </row>
    <row r="260" customFormat="false" ht="15" hidden="false" customHeight="false" outlineLevel="0" collapsed="false">
      <c r="A260" s="2" t="s">
        <v>254</v>
      </c>
      <c r="B260" s="2" t="s">
        <v>366</v>
      </c>
      <c r="C260" s="2" t="s">
        <v>48</v>
      </c>
      <c r="D260" s="2" t="s">
        <v>315</v>
      </c>
      <c r="E260" s="2" t="s">
        <v>367</v>
      </c>
      <c r="F260" s="2" t="s">
        <v>368</v>
      </c>
    </row>
    <row r="261" customFormat="false" ht="15" hidden="false" customHeight="false" outlineLevel="0" collapsed="false">
      <c r="A261" s="2" t="s">
        <v>254</v>
      </c>
      <c r="B261" s="2" t="s">
        <v>318</v>
      </c>
      <c r="C261" s="2" t="s">
        <v>48</v>
      </c>
      <c r="D261" s="2" t="s">
        <v>319</v>
      </c>
      <c r="E261" s="2" t="s">
        <v>320</v>
      </c>
      <c r="F261" s="2" t="s">
        <v>321</v>
      </c>
    </row>
    <row r="262" customFormat="false" ht="15" hidden="false" customHeight="false" outlineLevel="0" collapsed="false">
      <c r="A262" s="2" t="s">
        <v>254</v>
      </c>
      <c r="B262" s="2" t="s">
        <v>326</v>
      </c>
      <c r="C262" s="2" t="s">
        <v>51</v>
      </c>
      <c r="D262" s="2" t="s">
        <v>319</v>
      </c>
      <c r="E262" s="2" t="s">
        <v>327</v>
      </c>
      <c r="F262" s="2" t="s">
        <v>388</v>
      </c>
    </row>
    <row r="263" customFormat="false" ht="15" hidden="false" customHeight="false" outlineLevel="0" collapsed="false">
      <c r="A263" s="2" t="s">
        <v>254</v>
      </c>
      <c r="B263" s="2" t="s">
        <v>329</v>
      </c>
      <c r="C263" s="2" t="s">
        <v>52</v>
      </c>
      <c r="D263" s="2" t="s">
        <v>319</v>
      </c>
      <c r="E263" s="2" t="s">
        <v>330</v>
      </c>
      <c r="F263" s="2" t="s">
        <v>331</v>
      </c>
    </row>
    <row r="264" customFormat="false" ht="15" hidden="false" customHeight="false" outlineLevel="0" collapsed="false">
      <c r="A264" s="2" t="s">
        <v>254</v>
      </c>
      <c r="B264" s="2" t="s">
        <v>332</v>
      </c>
      <c r="C264" s="2" t="s">
        <v>51</v>
      </c>
      <c r="D264" s="2" t="s">
        <v>319</v>
      </c>
      <c r="E264" s="2" t="s">
        <v>333</v>
      </c>
      <c r="F264" s="2" t="s">
        <v>334</v>
      </c>
    </row>
    <row r="265" customFormat="false" ht="15" hidden="false" customHeight="false" outlineLevel="0" collapsed="false">
      <c r="A265" s="2" t="s">
        <v>254</v>
      </c>
      <c r="B265" s="2" t="s">
        <v>329</v>
      </c>
      <c r="C265" s="2" t="s">
        <v>52</v>
      </c>
      <c r="D265" s="2" t="s">
        <v>319</v>
      </c>
      <c r="E265" s="2" t="s">
        <v>335</v>
      </c>
      <c r="F265" s="2" t="s">
        <v>331</v>
      </c>
    </row>
    <row r="266" customFormat="false" ht="15" hidden="false" customHeight="false" outlineLevel="0" collapsed="false">
      <c r="A266" s="2" t="s">
        <v>255</v>
      </c>
      <c r="B266" s="2" t="s">
        <v>318</v>
      </c>
      <c r="C266" s="2" t="s">
        <v>48</v>
      </c>
      <c r="D266" s="2" t="s">
        <v>319</v>
      </c>
      <c r="E266" s="2" t="s">
        <v>320</v>
      </c>
      <c r="F266" s="2" t="s">
        <v>321</v>
      </c>
    </row>
    <row r="267" customFormat="false" ht="15" hidden="false" customHeight="false" outlineLevel="0" collapsed="false">
      <c r="A267" s="2" t="s">
        <v>255</v>
      </c>
      <c r="B267" s="2" t="s">
        <v>326</v>
      </c>
      <c r="C267" s="2" t="s">
        <v>51</v>
      </c>
      <c r="D267" s="2" t="s">
        <v>319</v>
      </c>
      <c r="E267" s="2" t="s">
        <v>327</v>
      </c>
      <c r="F267" s="2" t="s">
        <v>398</v>
      </c>
    </row>
    <row r="268" customFormat="false" ht="15" hidden="false" customHeight="false" outlineLevel="0" collapsed="false">
      <c r="A268" s="2" t="s">
        <v>255</v>
      </c>
      <c r="B268" s="2" t="s">
        <v>329</v>
      </c>
      <c r="C268" s="2" t="s">
        <v>52</v>
      </c>
      <c r="D268" s="2" t="s">
        <v>319</v>
      </c>
      <c r="E268" s="2" t="s">
        <v>330</v>
      </c>
      <c r="F268" s="2" t="s">
        <v>331</v>
      </c>
    </row>
    <row r="269" customFormat="false" ht="15" hidden="false" customHeight="false" outlineLevel="0" collapsed="false">
      <c r="A269" s="2" t="s">
        <v>255</v>
      </c>
      <c r="B269" s="2" t="s">
        <v>329</v>
      </c>
      <c r="C269" s="2" t="s">
        <v>52</v>
      </c>
      <c r="D269" s="2" t="s">
        <v>319</v>
      </c>
      <c r="E269" s="2" t="s">
        <v>335</v>
      </c>
      <c r="F269" s="2" t="s">
        <v>331</v>
      </c>
    </row>
    <row r="270" customFormat="false" ht="15" hidden="false" customHeight="false" outlineLevel="0" collapsed="false">
      <c r="A270" s="2" t="s">
        <v>256</v>
      </c>
      <c r="B270" s="2" t="s">
        <v>318</v>
      </c>
      <c r="C270" s="2" t="s">
        <v>48</v>
      </c>
      <c r="D270" s="2" t="s">
        <v>319</v>
      </c>
      <c r="E270" s="2" t="s">
        <v>320</v>
      </c>
      <c r="F270" s="2" t="s">
        <v>321</v>
      </c>
    </row>
    <row r="271" customFormat="false" ht="15" hidden="false" customHeight="false" outlineLevel="0" collapsed="false">
      <c r="A271" s="2" t="s">
        <v>256</v>
      </c>
      <c r="B271" s="2" t="s">
        <v>329</v>
      </c>
      <c r="C271" s="2" t="s">
        <v>52</v>
      </c>
      <c r="D271" s="2" t="s">
        <v>319</v>
      </c>
      <c r="E271" s="2" t="s">
        <v>330</v>
      </c>
      <c r="F271" s="2" t="s">
        <v>331</v>
      </c>
    </row>
    <row r="272" customFormat="false" ht="15" hidden="false" customHeight="false" outlineLevel="0" collapsed="false">
      <c r="A272" s="2" t="s">
        <v>256</v>
      </c>
      <c r="B272" s="2" t="s">
        <v>339</v>
      </c>
      <c r="C272" s="2" t="s">
        <v>51</v>
      </c>
      <c r="D272" s="2" t="s">
        <v>319</v>
      </c>
      <c r="E272" s="2" t="s">
        <v>340</v>
      </c>
      <c r="F272" s="2" t="s">
        <v>341</v>
      </c>
    </row>
    <row r="273" customFormat="false" ht="15" hidden="false" customHeight="false" outlineLevel="0" collapsed="false">
      <c r="A273" s="2" t="s">
        <v>256</v>
      </c>
      <c r="B273" s="2" t="s">
        <v>329</v>
      </c>
      <c r="C273" s="2" t="s">
        <v>52</v>
      </c>
      <c r="D273" s="2" t="s">
        <v>319</v>
      </c>
      <c r="E273" s="2" t="s">
        <v>335</v>
      </c>
      <c r="F273" s="2" t="s">
        <v>331</v>
      </c>
    </row>
    <row r="274" customFormat="false" ht="15" hidden="false" customHeight="false" outlineLevel="0" collapsed="false">
      <c r="A274" s="2" t="s">
        <v>257</v>
      </c>
      <c r="B274" s="2" t="s">
        <v>329</v>
      </c>
      <c r="C274" s="2" t="s">
        <v>52</v>
      </c>
      <c r="D274" s="2" t="s">
        <v>319</v>
      </c>
      <c r="E274" s="2" t="s">
        <v>330</v>
      </c>
      <c r="F274" s="2" t="s">
        <v>331</v>
      </c>
    </row>
    <row r="275" customFormat="false" ht="15" hidden="false" customHeight="false" outlineLevel="0" collapsed="false">
      <c r="A275" s="2" t="s">
        <v>257</v>
      </c>
      <c r="B275" s="2" t="s">
        <v>332</v>
      </c>
      <c r="C275" s="2" t="s">
        <v>51</v>
      </c>
      <c r="D275" s="2" t="s">
        <v>319</v>
      </c>
      <c r="E275" s="2" t="s">
        <v>333</v>
      </c>
      <c r="F275" s="2" t="s">
        <v>334</v>
      </c>
    </row>
    <row r="276" customFormat="false" ht="15" hidden="false" customHeight="false" outlineLevel="0" collapsed="false">
      <c r="A276" s="2" t="s">
        <v>257</v>
      </c>
      <c r="B276" s="2" t="s">
        <v>329</v>
      </c>
      <c r="C276" s="2" t="s">
        <v>52</v>
      </c>
      <c r="D276" s="2" t="s">
        <v>319</v>
      </c>
      <c r="E276" s="2" t="s">
        <v>335</v>
      </c>
      <c r="F276" s="2" t="s">
        <v>331</v>
      </c>
    </row>
    <row r="277" customFormat="false" ht="15" hidden="false" customHeight="false" outlineLevel="0" collapsed="false">
      <c r="A277" s="2" t="s">
        <v>258</v>
      </c>
      <c r="B277" s="2" t="s">
        <v>360</v>
      </c>
      <c r="C277" s="2" t="s">
        <v>48</v>
      </c>
      <c r="D277" s="2" t="s">
        <v>315</v>
      </c>
      <c r="E277" s="2" t="s">
        <v>399</v>
      </c>
      <c r="F277" s="2" t="s">
        <v>400</v>
      </c>
    </row>
    <row r="278" customFormat="false" ht="15" hidden="false" customHeight="false" outlineLevel="0" collapsed="false">
      <c r="A278" s="2" t="s">
        <v>258</v>
      </c>
      <c r="B278" s="2" t="s">
        <v>318</v>
      </c>
      <c r="C278" s="2" t="s">
        <v>48</v>
      </c>
      <c r="D278" s="2" t="s">
        <v>319</v>
      </c>
      <c r="E278" s="2" t="s">
        <v>320</v>
      </c>
      <c r="F278" s="2" t="s">
        <v>321</v>
      </c>
    </row>
    <row r="279" customFormat="false" ht="15" hidden="false" customHeight="false" outlineLevel="0" collapsed="false">
      <c r="A279" s="2" t="s">
        <v>258</v>
      </c>
      <c r="B279" s="2" t="s">
        <v>322</v>
      </c>
      <c r="C279" s="2" t="s">
        <v>51</v>
      </c>
      <c r="D279" s="2" t="s">
        <v>323</v>
      </c>
      <c r="E279" s="2" t="s">
        <v>324</v>
      </c>
      <c r="F279" s="2" t="s">
        <v>325</v>
      </c>
    </row>
    <row r="280" customFormat="false" ht="15" hidden="false" customHeight="false" outlineLevel="0" collapsed="false">
      <c r="A280" s="2" t="s">
        <v>258</v>
      </c>
      <c r="B280" s="2" t="s">
        <v>329</v>
      </c>
      <c r="C280" s="2" t="s">
        <v>52</v>
      </c>
      <c r="D280" s="2" t="s">
        <v>319</v>
      </c>
      <c r="E280" s="2" t="s">
        <v>330</v>
      </c>
      <c r="F280" s="2" t="s">
        <v>331</v>
      </c>
    </row>
    <row r="281" customFormat="false" ht="15" hidden="false" customHeight="false" outlineLevel="0" collapsed="false">
      <c r="A281" s="2" t="s">
        <v>258</v>
      </c>
      <c r="B281" s="2" t="s">
        <v>339</v>
      </c>
      <c r="C281" s="2" t="s">
        <v>51</v>
      </c>
      <c r="D281" s="2" t="s">
        <v>319</v>
      </c>
      <c r="E281" s="2" t="s">
        <v>340</v>
      </c>
      <c r="F281" s="2" t="s">
        <v>341</v>
      </c>
    </row>
    <row r="282" customFormat="false" ht="15" hidden="false" customHeight="false" outlineLevel="0" collapsed="false">
      <c r="A282" s="2" t="s">
        <v>258</v>
      </c>
      <c r="B282" s="2" t="s">
        <v>332</v>
      </c>
      <c r="C282" s="2" t="s">
        <v>51</v>
      </c>
      <c r="D282" s="2" t="s">
        <v>319</v>
      </c>
      <c r="E282" s="2" t="s">
        <v>333</v>
      </c>
      <c r="F282" s="2" t="s">
        <v>334</v>
      </c>
    </row>
    <row r="283" customFormat="false" ht="15" hidden="false" customHeight="false" outlineLevel="0" collapsed="false">
      <c r="A283" s="2" t="s">
        <v>258</v>
      </c>
      <c r="B283" s="2" t="s">
        <v>329</v>
      </c>
      <c r="C283" s="2" t="s">
        <v>52</v>
      </c>
      <c r="D283" s="2" t="s">
        <v>319</v>
      </c>
      <c r="E283" s="2" t="s">
        <v>335</v>
      </c>
      <c r="F283" s="2" t="s">
        <v>331</v>
      </c>
    </row>
    <row r="284" customFormat="false" ht="15" hidden="false" customHeight="false" outlineLevel="0" collapsed="false">
      <c r="A284" s="2" t="s">
        <v>258</v>
      </c>
      <c r="B284" s="2" t="s">
        <v>336</v>
      </c>
      <c r="C284" s="2" t="s">
        <v>52</v>
      </c>
      <c r="D284" s="2" t="s">
        <v>319</v>
      </c>
      <c r="E284" s="2" t="s">
        <v>337</v>
      </c>
      <c r="F284" s="2" t="s">
        <v>338</v>
      </c>
    </row>
    <row r="285" customFormat="false" ht="15" hidden="false" customHeight="false" outlineLevel="0" collapsed="false">
      <c r="A285" s="2" t="s">
        <v>259</v>
      </c>
      <c r="B285" s="2" t="s">
        <v>401</v>
      </c>
      <c r="C285" s="2" t="s">
        <v>46</v>
      </c>
      <c r="D285" s="2" t="s">
        <v>315</v>
      </c>
      <c r="E285" s="2" t="s">
        <v>402</v>
      </c>
      <c r="F285" s="2" t="s">
        <v>403</v>
      </c>
    </row>
    <row r="286" customFormat="false" ht="15" hidden="false" customHeight="false" outlineLevel="0" collapsed="false">
      <c r="A286" s="2" t="s">
        <v>261</v>
      </c>
      <c r="B286" s="2" t="s">
        <v>318</v>
      </c>
      <c r="C286" s="2" t="s">
        <v>48</v>
      </c>
      <c r="D286" s="2" t="s">
        <v>319</v>
      </c>
      <c r="E286" s="2" t="s">
        <v>320</v>
      </c>
      <c r="F286" s="2" t="s">
        <v>321</v>
      </c>
    </row>
    <row r="287" customFormat="false" ht="15" hidden="false" customHeight="false" outlineLevel="0" collapsed="false">
      <c r="A287" s="2" t="s">
        <v>261</v>
      </c>
      <c r="B287" s="2" t="s">
        <v>329</v>
      </c>
      <c r="C287" s="2" t="s">
        <v>52</v>
      </c>
      <c r="D287" s="2" t="s">
        <v>319</v>
      </c>
      <c r="E287" s="2" t="s">
        <v>330</v>
      </c>
      <c r="F287" s="2" t="s">
        <v>331</v>
      </c>
    </row>
    <row r="288" customFormat="false" ht="15" hidden="false" customHeight="false" outlineLevel="0" collapsed="false">
      <c r="A288" s="2" t="s">
        <v>261</v>
      </c>
      <c r="B288" s="2" t="s">
        <v>332</v>
      </c>
      <c r="C288" s="2" t="s">
        <v>51</v>
      </c>
      <c r="D288" s="2" t="s">
        <v>319</v>
      </c>
      <c r="E288" s="2" t="s">
        <v>333</v>
      </c>
      <c r="F288" s="2" t="s">
        <v>334</v>
      </c>
    </row>
    <row r="289" customFormat="false" ht="15" hidden="false" customHeight="false" outlineLevel="0" collapsed="false">
      <c r="A289" s="2" t="s">
        <v>261</v>
      </c>
      <c r="B289" s="2" t="s">
        <v>329</v>
      </c>
      <c r="C289" s="2" t="s">
        <v>52</v>
      </c>
      <c r="D289" s="2" t="s">
        <v>319</v>
      </c>
      <c r="E289" s="2" t="s">
        <v>335</v>
      </c>
      <c r="F289" s="2" t="s">
        <v>331</v>
      </c>
    </row>
    <row r="290" customFormat="false" ht="15" hidden="false" customHeight="false" outlineLevel="0" collapsed="false">
      <c r="A290" s="2" t="s">
        <v>262</v>
      </c>
      <c r="B290" s="2" t="s">
        <v>378</v>
      </c>
      <c r="C290" s="2" t="s">
        <v>48</v>
      </c>
      <c r="D290" s="2" t="s">
        <v>315</v>
      </c>
      <c r="E290" s="2" t="s">
        <v>316</v>
      </c>
      <c r="F290" s="2" t="s">
        <v>380</v>
      </c>
    </row>
    <row r="291" customFormat="false" ht="15" hidden="false" customHeight="false" outlineLevel="0" collapsed="false">
      <c r="A291" s="2" t="s">
        <v>262</v>
      </c>
      <c r="B291" s="2" t="s">
        <v>318</v>
      </c>
      <c r="C291" s="2" t="s">
        <v>48</v>
      </c>
      <c r="D291" s="2" t="s">
        <v>319</v>
      </c>
      <c r="E291" s="2" t="s">
        <v>320</v>
      </c>
      <c r="F291" s="2" t="s">
        <v>321</v>
      </c>
    </row>
    <row r="292" customFormat="false" ht="15" hidden="false" customHeight="false" outlineLevel="0" collapsed="false">
      <c r="A292" s="2" t="s">
        <v>262</v>
      </c>
      <c r="B292" s="2" t="s">
        <v>322</v>
      </c>
      <c r="C292" s="2" t="s">
        <v>51</v>
      </c>
      <c r="D292" s="2" t="s">
        <v>323</v>
      </c>
      <c r="E292" s="2" t="s">
        <v>324</v>
      </c>
      <c r="F292" s="2" t="s">
        <v>325</v>
      </c>
    </row>
    <row r="293" customFormat="false" ht="15" hidden="false" customHeight="false" outlineLevel="0" collapsed="false">
      <c r="A293" s="2" t="s">
        <v>262</v>
      </c>
      <c r="B293" s="2" t="s">
        <v>329</v>
      </c>
      <c r="C293" s="2" t="s">
        <v>52</v>
      </c>
      <c r="D293" s="2" t="s">
        <v>319</v>
      </c>
      <c r="E293" s="2" t="s">
        <v>330</v>
      </c>
      <c r="F293" s="2" t="s">
        <v>331</v>
      </c>
    </row>
    <row r="294" customFormat="false" ht="15" hidden="false" customHeight="false" outlineLevel="0" collapsed="false">
      <c r="A294" s="2" t="s">
        <v>262</v>
      </c>
      <c r="B294" s="2" t="s">
        <v>332</v>
      </c>
      <c r="C294" s="2" t="s">
        <v>51</v>
      </c>
      <c r="D294" s="2" t="s">
        <v>319</v>
      </c>
      <c r="E294" s="2" t="s">
        <v>333</v>
      </c>
      <c r="F294" s="2" t="s">
        <v>334</v>
      </c>
    </row>
    <row r="295" customFormat="false" ht="15" hidden="false" customHeight="false" outlineLevel="0" collapsed="false">
      <c r="A295" s="2" t="s">
        <v>262</v>
      </c>
      <c r="B295" s="2" t="s">
        <v>329</v>
      </c>
      <c r="C295" s="2" t="s">
        <v>52</v>
      </c>
      <c r="D295" s="2" t="s">
        <v>319</v>
      </c>
      <c r="E295" s="2" t="s">
        <v>335</v>
      </c>
      <c r="F295" s="2" t="s">
        <v>331</v>
      </c>
    </row>
    <row r="296" customFormat="false" ht="15" hidden="false" customHeight="false" outlineLevel="0" collapsed="false">
      <c r="A296" s="2" t="s">
        <v>262</v>
      </c>
      <c r="B296" s="2" t="s">
        <v>336</v>
      </c>
      <c r="C296" s="2" t="s">
        <v>52</v>
      </c>
      <c r="D296" s="2" t="s">
        <v>319</v>
      </c>
      <c r="E296" s="2" t="s">
        <v>337</v>
      </c>
      <c r="F296" s="2" t="s">
        <v>338</v>
      </c>
    </row>
    <row r="297" customFormat="false" ht="15" hidden="false" customHeight="false" outlineLevel="0" collapsed="false">
      <c r="A297" s="2" t="s">
        <v>263</v>
      </c>
      <c r="B297" s="2" t="s">
        <v>318</v>
      </c>
      <c r="C297" s="2" t="s">
        <v>48</v>
      </c>
      <c r="D297" s="2" t="s">
        <v>319</v>
      </c>
      <c r="E297" s="2" t="s">
        <v>320</v>
      </c>
      <c r="F297" s="2" t="s">
        <v>321</v>
      </c>
    </row>
    <row r="298" customFormat="false" ht="15" hidden="false" customHeight="false" outlineLevel="0" collapsed="false">
      <c r="A298" s="2" t="s">
        <v>263</v>
      </c>
      <c r="B298" s="2" t="s">
        <v>329</v>
      </c>
      <c r="C298" s="2" t="s">
        <v>52</v>
      </c>
      <c r="D298" s="2" t="s">
        <v>319</v>
      </c>
      <c r="E298" s="2" t="s">
        <v>330</v>
      </c>
      <c r="F298" s="2" t="s">
        <v>331</v>
      </c>
    </row>
    <row r="299" customFormat="false" ht="15" hidden="false" customHeight="false" outlineLevel="0" collapsed="false">
      <c r="A299" s="2" t="s">
        <v>263</v>
      </c>
      <c r="B299" s="2" t="s">
        <v>339</v>
      </c>
      <c r="C299" s="2" t="s">
        <v>51</v>
      </c>
      <c r="D299" s="2" t="s">
        <v>319</v>
      </c>
      <c r="E299" s="2" t="s">
        <v>340</v>
      </c>
      <c r="F299" s="2" t="s">
        <v>341</v>
      </c>
    </row>
    <row r="300" customFormat="false" ht="15" hidden="false" customHeight="false" outlineLevel="0" collapsed="false">
      <c r="A300" s="2" t="s">
        <v>263</v>
      </c>
      <c r="B300" s="2" t="s">
        <v>332</v>
      </c>
      <c r="C300" s="2" t="s">
        <v>51</v>
      </c>
      <c r="D300" s="2" t="s">
        <v>319</v>
      </c>
      <c r="E300" s="2" t="s">
        <v>333</v>
      </c>
      <c r="F300" s="2" t="s">
        <v>334</v>
      </c>
    </row>
    <row r="301" customFormat="false" ht="15" hidden="false" customHeight="false" outlineLevel="0" collapsed="false">
      <c r="A301" s="2" t="s">
        <v>263</v>
      </c>
      <c r="B301" s="2" t="s">
        <v>329</v>
      </c>
      <c r="C301" s="2" t="s">
        <v>52</v>
      </c>
      <c r="D301" s="2" t="s">
        <v>319</v>
      </c>
      <c r="E301" s="2" t="s">
        <v>335</v>
      </c>
      <c r="F301" s="2" t="s">
        <v>331</v>
      </c>
    </row>
    <row r="302" customFormat="false" ht="15" hidden="false" customHeight="false" outlineLevel="0" collapsed="false">
      <c r="A302" s="2" t="s">
        <v>263</v>
      </c>
      <c r="B302" s="2" t="s">
        <v>336</v>
      </c>
      <c r="C302" s="2" t="s">
        <v>52</v>
      </c>
      <c r="D302" s="2" t="s">
        <v>319</v>
      </c>
      <c r="E302" s="2" t="s">
        <v>337</v>
      </c>
      <c r="F302" s="2" t="s">
        <v>338</v>
      </c>
    </row>
    <row r="303" customFormat="false" ht="15" hidden="false" customHeight="false" outlineLevel="0" collapsed="false">
      <c r="A303" s="2" t="s">
        <v>264</v>
      </c>
      <c r="B303" s="2" t="s">
        <v>404</v>
      </c>
      <c r="C303" s="2" t="s">
        <v>46</v>
      </c>
      <c r="D303" s="2" t="s">
        <v>315</v>
      </c>
      <c r="E303" s="2" t="s">
        <v>355</v>
      </c>
      <c r="F303" s="2" t="s">
        <v>405</v>
      </c>
    </row>
    <row r="304" customFormat="false" ht="15" hidden="false" customHeight="false" outlineLevel="0" collapsed="false">
      <c r="A304" s="2" t="s">
        <v>266</v>
      </c>
      <c r="B304" s="2" t="s">
        <v>357</v>
      </c>
      <c r="C304" s="2" t="s">
        <v>48</v>
      </c>
      <c r="D304" s="2" t="s">
        <v>323</v>
      </c>
      <c r="E304" s="2" t="s">
        <v>358</v>
      </c>
      <c r="F304" s="2" t="s">
        <v>359</v>
      </c>
    </row>
    <row r="305" customFormat="false" ht="15" hidden="false" customHeight="false" outlineLevel="0" collapsed="false">
      <c r="A305" s="2" t="s">
        <v>266</v>
      </c>
      <c r="B305" s="2" t="s">
        <v>318</v>
      </c>
      <c r="C305" s="2" t="s">
        <v>48</v>
      </c>
      <c r="D305" s="2" t="s">
        <v>319</v>
      </c>
      <c r="E305" s="2" t="s">
        <v>320</v>
      </c>
      <c r="F305" s="2" t="s">
        <v>321</v>
      </c>
    </row>
    <row r="306" customFormat="false" ht="15" hidden="false" customHeight="false" outlineLevel="0" collapsed="false">
      <c r="A306" s="2" t="s">
        <v>266</v>
      </c>
      <c r="B306" s="2" t="s">
        <v>329</v>
      </c>
      <c r="C306" s="2" t="s">
        <v>52</v>
      </c>
      <c r="D306" s="2" t="s">
        <v>319</v>
      </c>
      <c r="E306" s="2" t="s">
        <v>330</v>
      </c>
      <c r="F306" s="2" t="s">
        <v>331</v>
      </c>
    </row>
    <row r="307" customFormat="false" ht="15" hidden="false" customHeight="false" outlineLevel="0" collapsed="false">
      <c r="A307" s="2" t="s">
        <v>266</v>
      </c>
      <c r="B307" s="2" t="s">
        <v>339</v>
      </c>
      <c r="C307" s="2" t="s">
        <v>51</v>
      </c>
      <c r="D307" s="2" t="s">
        <v>319</v>
      </c>
      <c r="E307" s="2" t="s">
        <v>340</v>
      </c>
      <c r="F307" s="2" t="s">
        <v>341</v>
      </c>
    </row>
    <row r="308" customFormat="false" ht="15" hidden="false" customHeight="false" outlineLevel="0" collapsed="false">
      <c r="A308" s="2" t="s">
        <v>266</v>
      </c>
      <c r="B308" s="2" t="s">
        <v>332</v>
      </c>
      <c r="C308" s="2" t="s">
        <v>51</v>
      </c>
      <c r="D308" s="2" t="s">
        <v>319</v>
      </c>
      <c r="E308" s="2" t="s">
        <v>333</v>
      </c>
      <c r="F308" s="2" t="s">
        <v>334</v>
      </c>
    </row>
    <row r="309" customFormat="false" ht="15" hidden="false" customHeight="false" outlineLevel="0" collapsed="false">
      <c r="A309" s="2" t="s">
        <v>266</v>
      </c>
      <c r="B309" s="2" t="s">
        <v>329</v>
      </c>
      <c r="C309" s="2" t="s">
        <v>52</v>
      </c>
      <c r="D309" s="2" t="s">
        <v>319</v>
      </c>
      <c r="E309" s="2" t="s">
        <v>335</v>
      </c>
      <c r="F309" s="2" t="s">
        <v>331</v>
      </c>
    </row>
    <row r="310" customFormat="false" ht="15" hidden="false" customHeight="false" outlineLevel="0" collapsed="false">
      <c r="A310" s="2" t="s">
        <v>266</v>
      </c>
      <c r="B310" s="2" t="s">
        <v>336</v>
      </c>
      <c r="C310" s="2" t="s">
        <v>52</v>
      </c>
      <c r="D310" s="2" t="s">
        <v>319</v>
      </c>
      <c r="E310" s="2" t="s">
        <v>352</v>
      </c>
      <c r="F310" s="2" t="s">
        <v>353</v>
      </c>
    </row>
    <row r="311" customFormat="false" ht="15" hidden="false" customHeight="false" outlineLevel="0" collapsed="false">
      <c r="A311" s="2" t="s">
        <v>267</v>
      </c>
      <c r="B311" s="2" t="s">
        <v>318</v>
      </c>
      <c r="C311" s="2" t="s">
        <v>48</v>
      </c>
      <c r="D311" s="2" t="s">
        <v>319</v>
      </c>
      <c r="E311" s="2" t="s">
        <v>320</v>
      </c>
      <c r="F311" s="2" t="s">
        <v>321</v>
      </c>
    </row>
    <row r="312" customFormat="false" ht="15" hidden="false" customHeight="false" outlineLevel="0" collapsed="false">
      <c r="A312" s="2" t="s">
        <v>267</v>
      </c>
      <c r="B312" s="2" t="s">
        <v>326</v>
      </c>
      <c r="C312" s="2" t="s">
        <v>51</v>
      </c>
      <c r="D312" s="2" t="s">
        <v>319</v>
      </c>
      <c r="E312" s="2" t="s">
        <v>327</v>
      </c>
      <c r="F312" s="2" t="s">
        <v>406</v>
      </c>
    </row>
    <row r="313" customFormat="false" ht="15" hidden="false" customHeight="false" outlineLevel="0" collapsed="false">
      <c r="A313" s="2" t="s">
        <v>267</v>
      </c>
      <c r="B313" s="2" t="s">
        <v>329</v>
      </c>
      <c r="C313" s="2" t="s">
        <v>52</v>
      </c>
      <c r="D313" s="2" t="s">
        <v>319</v>
      </c>
      <c r="E313" s="2" t="s">
        <v>330</v>
      </c>
      <c r="F313" s="2" t="s">
        <v>331</v>
      </c>
    </row>
    <row r="314" customFormat="false" ht="15" hidden="false" customHeight="false" outlineLevel="0" collapsed="false">
      <c r="A314" s="2" t="s">
        <v>267</v>
      </c>
      <c r="B314" s="2" t="s">
        <v>329</v>
      </c>
      <c r="C314" s="2" t="s">
        <v>52</v>
      </c>
      <c r="D314" s="2" t="s">
        <v>319</v>
      </c>
      <c r="E314" s="2" t="s">
        <v>335</v>
      </c>
      <c r="F314" s="2" t="s">
        <v>331</v>
      </c>
    </row>
    <row r="315" customFormat="false" ht="15" hidden="false" customHeight="false" outlineLevel="0" collapsed="false">
      <c r="A315" s="2" t="s">
        <v>267</v>
      </c>
      <c r="B315" s="2" t="s">
        <v>372</v>
      </c>
      <c r="C315" s="2" t="s">
        <v>50</v>
      </c>
      <c r="D315" s="2" t="s">
        <v>323</v>
      </c>
      <c r="E315" s="2" t="s">
        <v>373</v>
      </c>
      <c r="F315" s="2" t="s">
        <v>374</v>
      </c>
    </row>
    <row r="316" customFormat="false" ht="15" hidden="false" customHeight="false" outlineLevel="0" collapsed="false">
      <c r="A316" s="2" t="s">
        <v>269</v>
      </c>
      <c r="B316" s="2" t="s">
        <v>347</v>
      </c>
      <c r="C316" s="2" t="s">
        <v>48</v>
      </c>
      <c r="D316" s="2" t="s">
        <v>323</v>
      </c>
      <c r="E316" s="2" t="s">
        <v>348</v>
      </c>
      <c r="F316" s="2" t="s">
        <v>349</v>
      </c>
    </row>
    <row r="317" customFormat="false" ht="15" hidden="false" customHeight="false" outlineLevel="0" collapsed="false">
      <c r="A317" s="2" t="s">
        <v>269</v>
      </c>
      <c r="B317" s="2" t="s">
        <v>318</v>
      </c>
      <c r="C317" s="2" t="s">
        <v>48</v>
      </c>
      <c r="D317" s="2" t="s">
        <v>319</v>
      </c>
      <c r="E317" s="2" t="s">
        <v>320</v>
      </c>
      <c r="F317" s="2" t="s">
        <v>321</v>
      </c>
    </row>
    <row r="318" customFormat="false" ht="15" hidden="false" customHeight="false" outlineLevel="0" collapsed="false">
      <c r="A318" s="2" t="s">
        <v>269</v>
      </c>
      <c r="B318" s="2" t="s">
        <v>329</v>
      </c>
      <c r="C318" s="2" t="s">
        <v>52</v>
      </c>
      <c r="D318" s="2" t="s">
        <v>319</v>
      </c>
      <c r="E318" s="2" t="s">
        <v>330</v>
      </c>
      <c r="F318" s="2" t="s">
        <v>331</v>
      </c>
    </row>
    <row r="319" customFormat="false" ht="15" hidden="false" customHeight="false" outlineLevel="0" collapsed="false">
      <c r="A319" s="2" t="s">
        <v>269</v>
      </c>
      <c r="B319" s="2" t="s">
        <v>339</v>
      </c>
      <c r="C319" s="2" t="s">
        <v>51</v>
      </c>
      <c r="D319" s="2" t="s">
        <v>319</v>
      </c>
      <c r="E319" s="2" t="s">
        <v>340</v>
      </c>
      <c r="F319" s="2" t="s">
        <v>341</v>
      </c>
    </row>
    <row r="320" customFormat="false" ht="15" hidden="false" customHeight="false" outlineLevel="0" collapsed="false">
      <c r="A320" s="2" t="s">
        <v>269</v>
      </c>
      <c r="B320" s="2" t="s">
        <v>329</v>
      </c>
      <c r="C320" s="2" t="s">
        <v>52</v>
      </c>
      <c r="D320" s="2" t="s">
        <v>319</v>
      </c>
      <c r="E320" s="2" t="s">
        <v>335</v>
      </c>
      <c r="F320" s="2" t="s">
        <v>331</v>
      </c>
    </row>
    <row r="321" customFormat="false" ht="15" hidden="false" customHeight="false" outlineLevel="0" collapsed="false">
      <c r="A321" s="2" t="s">
        <v>270</v>
      </c>
      <c r="B321" s="2" t="s">
        <v>318</v>
      </c>
      <c r="C321" s="2" t="s">
        <v>48</v>
      </c>
      <c r="D321" s="2" t="s">
        <v>319</v>
      </c>
      <c r="E321" s="2" t="s">
        <v>320</v>
      </c>
      <c r="F321" s="2" t="s">
        <v>321</v>
      </c>
    </row>
    <row r="322" customFormat="false" ht="15" hidden="false" customHeight="false" outlineLevel="0" collapsed="false">
      <c r="A322" s="2" t="s">
        <v>270</v>
      </c>
      <c r="B322" s="2" t="s">
        <v>329</v>
      </c>
      <c r="C322" s="2" t="s">
        <v>52</v>
      </c>
      <c r="D322" s="2" t="s">
        <v>319</v>
      </c>
      <c r="E322" s="2" t="s">
        <v>330</v>
      </c>
      <c r="F322" s="2" t="s">
        <v>331</v>
      </c>
    </row>
    <row r="323" customFormat="false" ht="15" hidden="false" customHeight="false" outlineLevel="0" collapsed="false">
      <c r="A323" s="2" t="s">
        <v>270</v>
      </c>
      <c r="B323" s="2" t="s">
        <v>329</v>
      </c>
      <c r="C323" s="2" t="s">
        <v>52</v>
      </c>
      <c r="D323" s="2" t="s">
        <v>319</v>
      </c>
      <c r="E323" s="2" t="s">
        <v>335</v>
      </c>
      <c r="F323" s="2" t="s">
        <v>331</v>
      </c>
    </row>
    <row r="324" customFormat="false" ht="15" hidden="false" customHeight="false" outlineLevel="0" collapsed="false">
      <c r="A324" s="2" t="s">
        <v>270</v>
      </c>
      <c r="B324" s="2" t="s">
        <v>336</v>
      </c>
      <c r="C324" s="2" t="s">
        <v>52</v>
      </c>
      <c r="D324" s="2" t="s">
        <v>319</v>
      </c>
      <c r="E324" s="2" t="s">
        <v>337</v>
      </c>
      <c r="F324" s="2" t="s">
        <v>338</v>
      </c>
    </row>
    <row r="325" customFormat="false" ht="15" hidden="false" customHeight="false" outlineLevel="0" collapsed="false">
      <c r="A325" s="2" t="s">
        <v>271</v>
      </c>
      <c r="B325" s="2" t="s">
        <v>404</v>
      </c>
      <c r="C325" s="2" t="s">
        <v>46</v>
      </c>
      <c r="D325" s="2" t="s">
        <v>315</v>
      </c>
      <c r="E325" s="2" t="s">
        <v>355</v>
      </c>
      <c r="F325" s="2" t="s">
        <v>407</v>
      </c>
    </row>
    <row r="326" customFormat="false" ht="15" hidden="false" customHeight="false" outlineLevel="0" collapsed="false">
      <c r="A326" s="2" t="s">
        <v>272</v>
      </c>
      <c r="B326" s="2" t="s">
        <v>322</v>
      </c>
      <c r="C326" s="2" t="s">
        <v>51</v>
      </c>
      <c r="D326" s="2" t="s">
        <v>323</v>
      </c>
      <c r="E326" s="2" t="s">
        <v>324</v>
      </c>
      <c r="F326" s="2" t="s">
        <v>325</v>
      </c>
    </row>
    <row r="327" customFormat="false" ht="15" hidden="false" customHeight="false" outlineLevel="0" collapsed="false">
      <c r="A327" s="2" t="s">
        <v>272</v>
      </c>
      <c r="B327" s="2" t="s">
        <v>329</v>
      </c>
      <c r="C327" s="2" t="s">
        <v>52</v>
      </c>
      <c r="D327" s="2" t="s">
        <v>319</v>
      </c>
      <c r="E327" s="2" t="s">
        <v>330</v>
      </c>
      <c r="F327" s="2" t="s">
        <v>331</v>
      </c>
    </row>
    <row r="328" customFormat="false" ht="15" hidden="false" customHeight="false" outlineLevel="0" collapsed="false">
      <c r="A328" s="2" t="s">
        <v>272</v>
      </c>
      <c r="B328" s="2" t="s">
        <v>339</v>
      </c>
      <c r="C328" s="2" t="s">
        <v>51</v>
      </c>
      <c r="D328" s="2" t="s">
        <v>319</v>
      </c>
      <c r="E328" s="2" t="s">
        <v>340</v>
      </c>
      <c r="F328" s="2" t="s">
        <v>341</v>
      </c>
    </row>
    <row r="329" customFormat="false" ht="15" hidden="false" customHeight="false" outlineLevel="0" collapsed="false">
      <c r="A329" s="2" t="s">
        <v>272</v>
      </c>
      <c r="B329" s="2" t="s">
        <v>329</v>
      </c>
      <c r="C329" s="2" t="s">
        <v>52</v>
      </c>
      <c r="D329" s="2" t="s">
        <v>319</v>
      </c>
      <c r="E329" s="2" t="s">
        <v>335</v>
      </c>
      <c r="F329" s="2" t="s">
        <v>331</v>
      </c>
    </row>
    <row r="330" customFormat="false" ht="15" hidden="false" customHeight="false" outlineLevel="0" collapsed="false">
      <c r="A330" s="2" t="s">
        <v>272</v>
      </c>
      <c r="B330" s="2" t="s">
        <v>336</v>
      </c>
      <c r="C330" s="2" t="s">
        <v>52</v>
      </c>
      <c r="D330" s="2" t="s">
        <v>319</v>
      </c>
      <c r="E330" s="2" t="s">
        <v>337</v>
      </c>
      <c r="F330" s="2" t="s">
        <v>338</v>
      </c>
    </row>
    <row r="331" customFormat="false" ht="15" hidden="false" customHeight="false" outlineLevel="0" collapsed="false">
      <c r="A331" s="2" t="s">
        <v>273</v>
      </c>
      <c r="B331" s="2" t="s">
        <v>318</v>
      </c>
      <c r="C331" s="2" t="s">
        <v>48</v>
      </c>
      <c r="D331" s="2" t="s">
        <v>319</v>
      </c>
      <c r="E331" s="2" t="s">
        <v>320</v>
      </c>
      <c r="F331" s="2" t="s">
        <v>321</v>
      </c>
    </row>
    <row r="332" customFormat="false" ht="15" hidden="false" customHeight="false" outlineLevel="0" collapsed="false">
      <c r="A332" s="2" t="s">
        <v>273</v>
      </c>
      <c r="B332" s="2" t="s">
        <v>329</v>
      </c>
      <c r="C332" s="2" t="s">
        <v>52</v>
      </c>
      <c r="D332" s="2" t="s">
        <v>319</v>
      </c>
      <c r="E332" s="2" t="s">
        <v>330</v>
      </c>
      <c r="F332" s="2" t="s">
        <v>331</v>
      </c>
    </row>
    <row r="333" customFormat="false" ht="15" hidden="false" customHeight="false" outlineLevel="0" collapsed="false">
      <c r="A333" s="2" t="s">
        <v>273</v>
      </c>
      <c r="B333" s="2" t="s">
        <v>329</v>
      </c>
      <c r="C333" s="2" t="s">
        <v>52</v>
      </c>
      <c r="D333" s="2" t="s">
        <v>319</v>
      </c>
      <c r="E333" s="2" t="s">
        <v>335</v>
      </c>
      <c r="F333" s="2" t="s">
        <v>331</v>
      </c>
    </row>
    <row r="334" customFormat="false" ht="15" hidden="false" customHeight="false" outlineLevel="0" collapsed="false">
      <c r="A334" s="2" t="s">
        <v>274</v>
      </c>
      <c r="B334" s="2" t="s">
        <v>357</v>
      </c>
      <c r="C334" s="2" t="s">
        <v>48</v>
      </c>
      <c r="D334" s="2" t="s">
        <v>323</v>
      </c>
      <c r="E334" s="2" t="s">
        <v>358</v>
      </c>
      <c r="F334" s="2" t="s">
        <v>359</v>
      </c>
    </row>
    <row r="335" customFormat="false" ht="15" hidden="false" customHeight="false" outlineLevel="0" collapsed="false">
      <c r="A335" s="2" t="s">
        <v>274</v>
      </c>
      <c r="B335" s="2" t="s">
        <v>318</v>
      </c>
      <c r="C335" s="2" t="s">
        <v>48</v>
      </c>
      <c r="D335" s="2" t="s">
        <v>319</v>
      </c>
      <c r="E335" s="2" t="s">
        <v>320</v>
      </c>
      <c r="F335" s="2" t="s">
        <v>321</v>
      </c>
    </row>
    <row r="336" customFormat="false" ht="15" hidden="false" customHeight="false" outlineLevel="0" collapsed="false">
      <c r="A336" s="2" t="s">
        <v>274</v>
      </c>
      <c r="B336" s="2" t="s">
        <v>322</v>
      </c>
      <c r="C336" s="2" t="s">
        <v>51</v>
      </c>
      <c r="D336" s="2" t="s">
        <v>323</v>
      </c>
      <c r="E336" s="2" t="s">
        <v>324</v>
      </c>
      <c r="F336" s="2" t="s">
        <v>325</v>
      </c>
    </row>
    <row r="337" customFormat="false" ht="15" hidden="false" customHeight="false" outlineLevel="0" collapsed="false">
      <c r="A337" s="2" t="s">
        <v>274</v>
      </c>
      <c r="B337" s="2" t="s">
        <v>329</v>
      </c>
      <c r="C337" s="2" t="s">
        <v>52</v>
      </c>
      <c r="D337" s="2" t="s">
        <v>319</v>
      </c>
      <c r="E337" s="2" t="s">
        <v>330</v>
      </c>
      <c r="F337" s="2" t="s">
        <v>331</v>
      </c>
    </row>
    <row r="338" customFormat="false" ht="15" hidden="false" customHeight="false" outlineLevel="0" collapsed="false">
      <c r="A338" s="2" t="s">
        <v>274</v>
      </c>
      <c r="B338" s="2" t="s">
        <v>329</v>
      </c>
      <c r="C338" s="2" t="s">
        <v>52</v>
      </c>
      <c r="D338" s="2" t="s">
        <v>319</v>
      </c>
      <c r="E338" s="2" t="s">
        <v>335</v>
      </c>
      <c r="F338" s="2" t="s">
        <v>331</v>
      </c>
    </row>
    <row r="339" customFormat="false" ht="15" hidden="false" customHeight="false" outlineLevel="0" collapsed="false">
      <c r="A339" s="2" t="s">
        <v>275</v>
      </c>
      <c r="B339" s="2" t="s">
        <v>343</v>
      </c>
      <c r="C339" s="2" t="s">
        <v>48</v>
      </c>
      <c r="D339" s="2" t="s">
        <v>315</v>
      </c>
      <c r="E339" s="2" t="s">
        <v>408</v>
      </c>
      <c r="F339" s="2" t="s">
        <v>345</v>
      </c>
    </row>
    <row r="340" customFormat="false" ht="15" hidden="false" customHeight="false" outlineLevel="0" collapsed="false">
      <c r="A340" s="2" t="s">
        <v>275</v>
      </c>
      <c r="B340" s="2" t="s">
        <v>318</v>
      </c>
      <c r="C340" s="2" t="s">
        <v>48</v>
      </c>
      <c r="D340" s="2" t="s">
        <v>319</v>
      </c>
      <c r="E340" s="2" t="s">
        <v>320</v>
      </c>
      <c r="F340" s="2" t="s">
        <v>321</v>
      </c>
    </row>
    <row r="341" customFormat="false" ht="15" hidden="false" customHeight="false" outlineLevel="0" collapsed="false">
      <c r="A341" s="2" t="s">
        <v>275</v>
      </c>
      <c r="B341" s="2" t="s">
        <v>329</v>
      </c>
      <c r="C341" s="2" t="s">
        <v>52</v>
      </c>
      <c r="D341" s="2" t="s">
        <v>319</v>
      </c>
      <c r="E341" s="2" t="s">
        <v>330</v>
      </c>
      <c r="F341" s="2" t="s">
        <v>331</v>
      </c>
    </row>
    <row r="342" customFormat="false" ht="15" hidden="false" customHeight="false" outlineLevel="0" collapsed="false">
      <c r="A342" s="2" t="s">
        <v>275</v>
      </c>
      <c r="B342" s="2" t="s">
        <v>329</v>
      </c>
      <c r="C342" s="2" t="s">
        <v>52</v>
      </c>
      <c r="D342" s="2" t="s">
        <v>319</v>
      </c>
      <c r="E342" s="2" t="s">
        <v>335</v>
      </c>
      <c r="F342" s="2" t="s">
        <v>331</v>
      </c>
    </row>
    <row r="343" customFormat="false" ht="15" hidden="false" customHeight="false" outlineLevel="0" collapsed="false">
      <c r="A343" s="2" t="s">
        <v>276</v>
      </c>
      <c r="B343" s="2" t="s">
        <v>318</v>
      </c>
      <c r="C343" s="2" t="s">
        <v>48</v>
      </c>
      <c r="D343" s="2" t="s">
        <v>319</v>
      </c>
      <c r="E343" s="2" t="s">
        <v>320</v>
      </c>
      <c r="F343" s="2" t="s">
        <v>321</v>
      </c>
    </row>
    <row r="344" customFormat="false" ht="15" hidden="false" customHeight="false" outlineLevel="0" collapsed="false">
      <c r="A344" s="2" t="s">
        <v>276</v>
      </c>
      <c r="B344" s="2" t="s">
        <v>329</v>
      </c>
      <c r="C344" s="2" t="s">
        <v>52</v>
      </c>
      <c r="D344" s="2" t="s">
        <v>319</v>
      </c>
      <c r="E344" s="2" t="s">
        <v>330</v>
      </c>
      <c r="F344" s="2" t="s">
        <v>331</v>
      </c>
    </row>
    <row r="345" customFormat="false" ht="15" hidden="false" customHeight="false" outlineLevel="0" collapsed="false">
      <c r="A345" s="2" t="s">
        <v>276</v>
      </c>
      <c r="B345" s="2" t="s">
        <v>332</v>
      </c>
      <c r="C345" s="2" t="s">
        <v>51</v>
      </c>
      <c r="D345" s="2" t="s">
        <v>319</v>
      </c>
      <c r="E345" s="2" t="s">
        <v>333</v>
      </c>
      <c r="F345" s="2" t="s">
        <v>334</v>
      </c>
    </row>
    <row r="346" customFormat="false" ht="15" hidden="false" customHeight="false" outlineLevel="0" collapsed="false">
      <c r="A346" s="2" t="s">
        <v>276</v>
      </c>
      <c r="B346" s="2" t="s">
        <v>409</v>
      </c>
      <c r="C346" s="2" t="s">
        <v>51</v>
      </c>
      <c r="D346" s="2" t="s">
        <v>323</v>
      </c>
      <c r="E346" s="2" t="s">
        <v>410</v>
      </c>
      <c r="F346" s="2" t="s">
        <v>411</v>
      </c>
    </row>
    <row r="347" customFormat="false" ht="15" hidden="false" customHeight="false" outlineLevel="0" collapsed="false">
      <c r="A347" s="2" t="s">
        <v>278</v>
      </c>
      <c r="B347" s="2" t="s">
        <v>318</v>
      </c>
      <c r="C347" s="2" t="s">
        <v>48</v>
      </c>
      <c r="D347" s="2" t="s">
        <v>319</v>
      </c>
      <c r="E347" s="2" t="s">
        <v>320</v>
      </c>
      <c r="F347" s="2" t="s">
        <v>321</v>
      </c>
    </row>
    <row r="348" customFormat="false" ht="15" hidden="false" customHeight="false" outlineLevel="0" collapsed="false">
      <c r="A348" s="2" t="s">
        <v>278</v>
      </c>
      <c r="B348" s="2" t="s">
        <v>329</v>
      </c>
      <c r="C348" s="2" t="s">
        <v>52</v>
      </c>
      <c r="D348" s="2" t="s">
        <v>319</v>
      </c>
      <c r="E348" s="2" t="s">
        <v>330</v>
      </c>
      <c r="F348" s="2" t="s">
        <v>331</v>
      </c>
    </row>
    <row r="349" customFormat="false" ht="15" hidden="false" customHeight="false" outlineLevel="0" collapsed="false">
      <c r="A349" s="2" t="s">
        <v>278</v>
      </c>
      <c r="B349" s="2" t="s">
        <v>339</v>
      </c>
      <c r="C349" s="2" t="s">
        <v>51</v>
      </c>
      <c r="D349" s="2" t="s">
        <v>319</v>
      </c>
      <c r="E349" s="2" t="s">
        <v>340</v>
      </c>
      <c r="F349" s="2" t="s">
        <v>341</v>
      </c>
    </row>
    <row r="350" customFormat="false" ht="15" hidden="false" customHeight="false" outlineLevel="0" collapsed="false">
      <c r="A350" s="2" t="s">
        <v>278</v>
      </c>
      <c r="B350" s="2" t="s">
        <v>332</v>
      </c>
      <c r="C350" s="2" t="s">
        <v>51</v>
      </c>
      <c r="D350" s="2" t="s">
        <v>319</v>
      </c>
      <c r="E350" s="2" t="s">
        <v>333</v>
      </c>
      <c r="F350" s="2" t="s">
        <v>334</v>
      </c>
    </row>
    <row r="351" customFormat="false" ht="15" hidden="false" customHeight="false" outlineLevel="0" collapsed="false">
      <c r="A351" s="2" t="s">
        <v>278</v>
      </c>
      <c r="B351" s="2" t="s">
        <v>329</v>
      </c>
      <c r="C351" s="2" t="s">
        <v>52</v>
      </c>
      <c r="D351" s="2" t="s">
        <v>319</v>
      </c>
      <c r="E351" s="2" t="s">
        <v>335</v>
      </c>
      <c r="F351" s="2" t="s">
        <v>331</v>
      </c>
    </row>
    <row r="352" customFormat="false" ht="15" hidden="false" customHeight="false" outlineLevel="0" collapsed="false">
      <c r="A352" s="2" t="s">
        <v>279</v>
      </c>
      <c r="B352" s="2" t="s">
        <v>318</v>
      </c>
      <c r="C352" s="2" t="s">
        <v>48</v>
      </c>
      <c r="D352" s="2" t="s">
        <v>319</v>
      </c>
      <c r="E352" s="2" t="s">
        <v>320</v>
      </c>
      <c r="F352" s="2" t="s">
        <v>321</v>
      </c>
    </row>
    <row r="353" customFormat="false" ht="15" hidden="false" customHeight="false" outlineLevel="0" collapsed="false">
      <c r="A353" s="2" t="s">
        <v>279</v>
      </c>
      <c r="B353" s="2" t="s">
        <v>329</v>
      </c>
      <c r="C353" s="2" t="s">
        <v>52</v>
      </c>
      <c r="D353" s="2" t="s">
        <v>319</v>
      </c>
      <c r="E353" s="2" t="s">
        <v>330</v>
      </c>
      <c r="F353" s="2" t="s">
        <v>331</v>
      </c>
    </row>
    <row r="354" customFormat="false" ht="15" hidden="false" customHeight="false" outlineLevel="0" collapsed="false">
      <c r="A354" s="2" t="s">
        <v>279</v>
      </c>
      <c r="B354" s="2" t="s">
        <v>339</v>
      </c>
      <c r="C354" s="2" t="s">
        <v>51</v>
      </c>
      <c r="D354" s="2" t="s">
        <v>319</v>
      </c>
      <c r="E354" s="2" t="s">
        <v>340</v>
      </c>
      <c r="F354" s="2" t="s">
        <v>341</v>
      </c>
    </row>
    <row r="355" customFormat="false" ht="15" hidden="false" customHeight="false" outlineLevel="0" collapsed="false">
      <c r="A355" s="2" t="s">
        <v>279</v>
      </c>
      <c r="B355" s="2" t="s">
        <v>329</v>
      </c>
      <c r="C355" s="2" t="s">
        <v>52</v>
      </c>
      <c r="D355" s="2" t="s">
        <v>319</v>
      </c>
      <c r="E355" s="2" t="s">
        <v>335</v>
      </c>
      <c r="F355" s="2" t="s">
        <v>331</v>
      </c>
    </row>
    <row r="356" customFormat="false" ht="15" hidden="false" customHeight="false" outlineLevel="0" collapsed="false">
      <c r="A356" s="2" t="s">
        <v>279</v>
      </c>
      <c r="B356" s="2" t="s">
        <v>336</v>
      </c>
      <c r="C356" s="2" t="s">
        <v>52</v>
      </c>
      <c r="D356" s="2" t="s">
        <v>319</v>
      </c>
      <c r="E356" s="2" t="s">
        <v>337</v>
      </c>
      <c r="F356" s="2" t="s">
        <v>338</v>
      </c>
    </row>
    <row r="357" customFormat="false" ht="15" hidden="false" customHeight="false" outlineLevel="0" collapsed="false">
      <c r="A357" s="2" t="s">
        <v>280</v>
      </c>
      <c r="B357" s="2" t="s">
        <v>318</v>
      </c>
      <c r="C357" s="2" t="s">
        <v>48</v>
      </c>
      <c r="D357" s="2" t="s">
        <v>319</v>
      </c>
      <c r="E357" s="2" t="s">
        <v>320</v>
      </c>
      <c r="F357" s="2" t="s">
        <v>321</v>
      </c>
    </row>
    <row r="358" customFormat="false" ht="15" hidden="false" customHeight="false" outlineLevel="0" collapsed="false">
      <c r="A358" s="2" t="s">
        <v>280</v>
      </c>
      <c r="B358" s="2" t="s">
        <v>322</v>
      </c>
      <c r="C358" s="2" t="s">
        <v>51</v>
      </c>
      <c r="D358" s="2" t="s">
        <v>323</v>
      </c>
      <c r="E358" s="2" t="s">
        <v>324</v>
      </c>
      <c r="F358" s="2" t="s">
        <v>325</v>
      </c>
    </row>
    <row r="359" customFormat="false" ht="15" hidden="false" customHeight="false" outlineLevel="0" collapsed="false">
      <c r="A359" s="2" t="s">
        <v>280</v>
      </c>
      <c r="B359" s="2" t="s">
        <v>329</v>
      </c>
      <c r="C359" s="2" t="s">
        <v>52</v>
      </c>
      <c r="D359" s="2" t="s">
        <v>319</v>
      </c>
      <c r="E359" s="2" t="s">
        <v>330</v>
      </c>
      <c r="F359" s="2" t="s">
        <v>331</v>
      </c>
    </row>
    <row r="360" customFormat="false" ht="15" hidden="false" customHeight="false" outlineLevel="0" collapsed="false">
      <c r="A360" s="2" t="s">
        <v>280</v>
      </c>
      <c r="B360" s="2" t="s">
        <v>332</v>
      </c>
      <c r="C360" s="2" t="s">
        <v>51</v>
      </c>
      <c r="D360" s="2" t="s">
        <v>319</v>
      </c>
      <c r="E360" s="2" t="s">
        <v>333</v>
      </c>
      <c r="F360" s="2" t="s">
        <v>334</v>
      </c>
    </row>
    <row r="361" customFormat="false" ht="15" hidden="false" customHeight="false" outlineLevel="0" collapsed="false">
      <c r="A361" s="2" t="s">
        <v>280</v>
      </c>
      <c r="B361" s="2" t="s">
        <v>329</v>
      </c>
      <c r="C361" s="2" t="s">
        <v>52</v>
      </c>
      <c r="D361" s="2" t="s">
        <v>319</v>
      </c>
      <c r="E361" s="2" t="s">
        <v>335</v>
      </c>
      <c r="F361" s="2" t="s">
        <v>331</v>
      </c>
    </row>
    <row r="362" customFormat="false" ht="15" hidden="false" customHeight="false" outlineLevel="0" collapsed="false">
      <c r="A362" s="2" t="s">
        <v>280</v>
      </c>
      <c r="B362" s="2" t="s">
        <v>372</v>
      </c>
      <c r="C362" s="2" t="s">
        <v>50</v>
      </c>
      <c r="D362" s="2" t="s">
        <v>323</v>
      </c>
      <c r="E362" s="2" t="s">
        <v>373</v>
      </c>
      <c r="F362" s="2" t="s">
        <v>374</v>
      </c>
    </row>
    <row r="363" customFormat="false" ht="15" hidden="false" customHeight="false" outlineLevel="0" collapsed="false">
      <c r="A363" s="2" t="s">
        <v>281</v>
      </c>
      <c r="B363" s="2" t="s">
        <v>409</v>
      </c>
      <c r="C363" s="2" t="s">
        <v>51</v>
      </c>
      <c r="D363" s="2" t="s">
        <v>323</v>
      </c>
      <c r="E363" s="2" t="s">
        <v>412</v>
      </c>
      <c r="F363" s="2" t="s">
        <v>413</v>
      </c>
    </row>
    <row r="364" customFormat="false" ht="15" hidden="false" customHeight="false" outlineLevel="0" collapsed="false">
      <c r="A364" s="2" t="s">
        <v>281</v>
      </c>
      <c r="B364" s="2" t="s">
        <v>339</v>
      </c>
      <c r="C364" s="2" t="s">
        <v>51</v>
      </c>
      <c r="D364" s="2" t="s">
        <v>319</v>
      </c>
      <c r="E364" s="2" t="s">
        <v>340</v>
      </c>
      <c r="F364" s="2" t="s">
        <v>341</v>
      </c>
    </row>
    <row r="365" customFormat="false" ht="15" hidden="false" customHeight="false" outlineLevel="0" collapsed="false">
      <c r="A365" s="2" t="s">
        <v>281</v>
      </c>
      <c r="B365" s="2" t="s">
        <v>332</v>
      </c>
      <c r="C365" s="2" t="s">
        <v>51</v>
      </c>
      <c r="D365" s="2" t="s">
        <v>319</v>
      </c>
      <c r="E365" s="2" t="s">
        <v>333</v>
      </c>
      <c r="F365" s="2" t="s">
        <v>334</v>
      </c>
    </row>
    <row r="366" customFormat="false" ht="15" hidden="false" customHeight="false" outlineLevel="0" collapsed="false">
      <c r="A366" s="2" t="s">
        <v>281</v>
      </c>
      <c r="B366" s="2" t="s">
        <v>329</v>
      </c>
      <c r="C366" s="2" t="s">
        <v>52</v>
      </c>
      <c r="D366" s="2" t="s">
        <v>319</v>
      </c>
      <c r="E366" s="2" t="s">
        <v>335</v>
      </c>
      <c r="F366" s="2" t="s">
        <v>331</v>
      </c>
    </row>
    <row r="367" customFormat="false" ht="15" hidden="false" customHeight="false" outlineLevel="0" collapsed="false">
      <c r="A367" s="2" t="s">
        <v>282</v>
      </c>
      <c r="B367" s="2" t="s">
        <v>318</v>
      </c>
      <c r="C367" s="2" t="s">
        <v>48</v>
      </c>
      <c r="D367" s="2" t="s">
        <v>319</v>
      </c>
      <c r="E367" s="2" t="s">
        <v>320</v>
      </c>
      <c r="F367" s="2" t="s">
        <v>321</v>
      </c>
    </row>
    <row r="368" customFormat="false" ht="15" hidden="false" customHeight="false" outlineLevel="0" collapsed="false">
      <c r="A368" s="2" t="s">
        <v>282</v>
      </c>
      <c r="B368" s="2" t="s">
        <v>322</v>
      </c>
      <c r="C368" s="2" t="s">
        <v>51</v>
      </c>
      <c r="D368" s="2" t="s">
        <v>323</v>
      </c>
      <c r="E368" s="2" t="s">
        <v>324</v>
      </c>
      <c r="F368" s="2" t="s">
        <v>325</v>
      </c>
    </row>
    <row r="369" customFormat="false" ht="15" hidden="false" customHeight="false" outlineLevel="0" collapsed="false">
      <c r="A369" s="2" t="s">
        <v>282</v>
      </c>
      <c r="B369" s="2" t="s">
        <v>326</v>
      </c>
      <c r="C369" s="2" t="s">
        <v>51</v>
      </c>
      <c r="D369" s="2" t="s">
        <v>319</v>
      </c>
      <c r="E369" s="2" t="s">
        <v>327</v>
      </c>
      <c r="F369" s="2" t="s">
        <v>414</v>
      </c>
    </row>
    <row r="370" customFormat="false" ht="15" hidden="false" customHeight="false" outlineLevel="0" collapsed="false">
      <c r="A370" s="2" t="s">
        <v>282</v>
      </c>
      <c r="B370" s="2" t="s">
        <v>329</v>
      </c>
      <c r="C370" s="2" t="s">
        <v>52</v>
      </c>
      <c r="D370" s="2" t="s">
        <v>319</v>
      </c>
      <c r="E370" s="2" t="s">
        <v>330</v>
      </c>
      <c r="F370" s="2" t="s">
        <v>331</v>
      </c>
    </row>
    <row r="371" customFormat="false" ht="15" hidden="false" customHeight="false" outlineLevel="0" collapsed="false">
      <c r="A371" s="2" t="s">
        <v>282</v>
      </c>
      <c r="B371" s="2" t="s">
        <v>339</v>
      </c>
      <c r="C371" s="2" t="s">
        <v>51</v>
      </c>
      <c r="D371" s="2" t="s">
        <v>319</v>
      </c>
      <c r="E371" s="2" t="s">
        <v>340</v>
      </c>
      <c r="F371" s="2" t="s">
        <v>341</v>
      </c>
    </row>
    <row r="372" customFormat="false" ht="15" hidden="false" customHeight="false" outlineLevel="0" collapsed="false">
      <c r="A372" s="2" t="s">
        <v>282</v>
      </c>
      <c r="B372" s="2" t="s">
        <v>329</v>
      </c>
      <c r="C372" s="2" t="s">
        <v>52</v>
      </c>
      <c r="D372" s="2" t="s">
        <v>319</v>
      </c>
      <c r="E372" s="2" t="s">
        <v>335</v>
      </c>
      <c r="F372" s="2" t="s">
        <v>331</v>
      </c>
    </row>
    <row r="373" customFormat="false" ht="15" hidden="false" customHeight="false" outlineLevel="0" collapsed="false">
      <c r="A373" s="2" t="s">
        <v>282</v>
      </c>
      <c r="B373" s="2" t="s">
        <v>336</v>
      </c>
      <c r="C373" s="2" t="s">
        <v>52</v>
      </c>
      <c r="D373" s="2" t="s">
        <v>319</v>
      </c>
      <c r="E373" s="2" t="s">
        <v>352</v>
      </c>
      <c r="F373" s="2" t="s">
        <v>353</v>
      </c>
    </row>
    <row r="374" customFormat="false" ht="15" hidden="false" customHeight="false" outlineLevel="0" collapsed="false">
      <c r="A374" s="2" t="s">
        <v>283</v>
      </c>
      <c r="B374" s="2" t="s">
        <v>314</v>
      </c>
      <c r="C374" s="2" t="s">
        <v>48</v>
      </c>
      <c r="D374" s="2" t="s">
        <v>315</v>
      </c>
      <c r="E374" s="2" t="s">
        <v>379</v>
      </c>
      <c r="F374" s="2" t="s">
        <v>415</v>
      </c>
    </row>
    <row r="375" customFormat="false" ht="15" hidden="false" customHeight="false" outlineLevel="0" collapsed="false">
      <c r="A375" s="2" t="s">
        <v>283</v>
      </c>
      <c r="B375" s="2" t="s">
        <v>322</v>
      </c>
      <c r="C375" s="2" t="s">
        <v>51</v>
      </c>
      <c r="D375" s="2" t="s">
        <v>323</v>
      </c>
      <c r="E375" s="2" t="s">
        <v>324</v>
      </c>
      <c r="F375" s="2" t="s">
        <v>325</v>
      </c>
    </row>
    <row r="376" customFormat="false" ht="15" hidden="false" customHeight="false" outlineLevel="0" collapsed="false">
      <c r="A376" s="2" t="s">
        <v>283</v>
      </c>
      <c r="B376" s="2" t="s">
        <v>329</v>
      </c>
      <c r="C376" s="2" t="s">
        <v>52</v>
      </c>
      <c r="D376" s="2" t="s">
        <v>319</v>
      </c>
      <c r="E376" s="2" t="s">
        <v>330</v>
      </c>
      <c r="F376" s="2" t="s">
        <v>331</v>
      </c>
    </row>
    <row r="377" customFormat="false" ht="15" hidden="false" customHeight="false" outlineLevel="0" collapsed="false">
      <c r="A377" s="2" t="s">
        <v>283</v>
      </c>
      <c r="B377" s="2" t="s">
        <v>339</v>
      </c>
      <c r="C377" s="2" t="s">
        <v>51</v>
      </c>
      <c r="D377" s="2" t="s">
        <v>319</v>
      </c>
      <c r="E377" s="2" t="s">
        <v>340</v>
      </c>
      <c r="F377" s="2" t="s">
        <v>341</v>
      </c>
    </row>
    <row r="378" customFormat="false" ht="15" hidden="false" customHeight="false" outlineLevel="0" collapsed="false">
      <c r="A378" s="2" t="s">
        <v>283</v>
      </c>
      <c r="B378" s="2" t="s">
        <v>332</v>
      </c>
      <c r="C378" s="2" t="s">
        <v>51</v>
      </c>
      <c r="D378" s="2" t="s">
        <v>319</v>
      </c>
      <c r="E378" s="2" t="s">
        <v>333</v>
      </c>
      <c r="F378" s="2" t="s">
        <v>334</v>
      </c>
    </row>
    <row r="379" customFormat="false" ht="15" hidden="false" customHeight="false" outlineLevel="0" collapsed="false">
      <c r="A379" s="2" t="s">
        <v>283</v>
      </c>
      <c r="B379" s="2" t="s">
        <v>329</v>
      </c>
      <c r="C379" s="2" t="s">
        <v>52</v>
      </c>
      <c r="D379" s="2" t="s">
        <v>319</v>
      </c>
      <c r="E379" s="2" t="s">
        <v>335</v>
      </c>
      <c r="F379" s="2" t="s">
        <v>331</v>
      </c>
    </row>
    <row r="380" customFormat="false" ht="15" hidden="false" customHeight="false" outlineLevel="0" collapsed="false">
      <c r="A380" s="2" t="s">
        <v>283</v>
      </c>
      <c r="B380" s="2" t="s">
        <v>336</v>
      </c>
      <c r="C380" s="2" t="s">
        <v>52</v>
      </c>
      <c r="D380" s="2" t="s">
        <v>319</v>
      </c>
      <c r="E380" s="2" t="s">
        <v>337</v>
      </c>
      <c r="F380" s="2" t="s">
        <v>338</v>
      </c>
    </row>
    <row r="381" customFormat="false" ht="15" hidden="false" customHeight="false" outlineLevel="0" collapsed="false">
      <c r="A381" s="2" t="s">
        <v>284</v>
      </c>
      <c r="B381" s="2" t="s">
        <v>318</v>
      </c>
      <c r="C381" s="2" t="s">
        <v>48</v>
      </c>
      <c r="D381" s="2" t="s">
        <v>319</v>
      </c>
      <c r="E381" s="2" t="s">
        <v>320</v>
      </c>
      <c r="F381" s="2" t="s">
        <v>321</v>
      </c>
    </row>
    <row r="382" customFormat="false" ht="15" hidden="false" customHeight="false" outlineLevel="0" collapsed="false">
      <c r="A382" s="2" t="s">
        <v>284</v>
      </c>
      <c r="B382" s="2" t="s">
        <v>329</v>
      </c>
      <c r="C382" s="2" t="s">
        <v>52</v>
      </c>
      <c r="D382" s="2" t="s">
        <v>319</v>
      </c>
      <c r="E382" s="2" t="s">
        <v>330</v>
      </c>
      <c r="F382" s="2" t="s">
        <v>331</v>
      </c>
    </row>
    <row r="383" customFormat="false" ht="15" hidden="false" customHeight="false" outlineLevel="0" collapsed="false">
      <c r="A383" s="2" t="s">
        <v>284</v>
      </c>
      <c r="B383" s="2" t="s">
        <v>332</v>
      </c>
      <c r="C383" s="2" t="s">
        <v>51</v>
      </c>
      <c r="D383" s="2" t="s">
        <v>319</v>
      </c>
      <c r="E383" s="2" t="s">
        <v>333</v>
      </c>
      <c r="F383" s="2" t="s">
        <v>334</v>
      </c>
    </row>
    <row r="384" customFormat="false" ht="15" hidden="false" customHeight="false" outlineLevel="0" collapsed="false">
      <c r="A384" s="2" t="s">
        <v>284</v>
      </c>
      <c r="B384" s="2" t="s">
        <v>329</v>
      </c>
      <c r="C384" s="2" t="s">
        <v>52</v>
      </c>
      <c r="D384" s="2" t="s">
        <v>319</v>
      </c>
      <c r="E384" s="2" t="s">
        <v>335</v>
      </c>
      <c r="F384" s="2" t="s">
        <v>331</v>
      </c>
    </row>
    <row r="385" customFormat="false" ht="15" hidden="false" customHeight="false" outlineLevel="0" collapsed="false">
      <c r="A385" s="2" t="s">
        <v>284</v>
      </c>
      <c r="B385" s="2" t="s">
        <v>336</v>
      </c>
      <c r="C385" s="2" t="s">
        <v>52</v>
      </c>
      <c r="D385" s="2" t="s">
        <v>319</v>
      </c>
      <c r="E385" s="2" t="s">
        <v>337</v>
      </c>
      <c r="F385" s="2" t="s">
        <v>338</v>
      </c>
    </row>
    <row r="386" customFormat="false" ht="15" hidden="false" customHeight="false" outlineLevel="0" collapsed="false">
      <c r="A386" s="2" t="s">
        <v>285</v>
      </c>
      <c r="B386" s="2" t="s">
        <v>318</v>
      </c>
      <c r="C386" s="2" t="s">
        <v>48</v>
      </c>
      <c r="D386" s="2" t="s">
        <v>319</v>
      </c>
      <c r="E386" s="2" t="s">
        <v>320</v>
      </c>
      <c r="F386" s="2" t="s">
        <v>321</v>
      </c>
    </row>
    <row r="387" customFormat="false" ht="15" hidden="false" customHeight="false" outlineLevel="0" collapsed="false">
      <c r="A387" s="2" t="s">
        <v>285</v>
      </c>
      <c r="B387" s="2" t="s">
        <v>326</v>
      </c>
      <c r="C387" s="2" t="s">
        <v>51</v>
      </c>
      <c r="D387" s="2" t="s">
        <v>319</v>
      </c>
      <c r="E387" s="2" t="s">
        <v>327</v>
      </c>
      <c r="F387" s="2" t="s">
        <v>388</v>
      </c>
    </row>
    <row r="388" customFormat="false" ht="15" hidden="false" customHeight="false" outlineLevel="0" collapsed="false">
      <c r="A388" s="2" t="s">
        <v>285</v>
      </c>
      <c r="B388" s="2" t="s">
        <v>329</v>
      </c>
      <c r="C388" s="2" t="s">
        <v>52</v>
      </c>
      <c r="D388" s="2" t="s">
        <v>319</v>
      </c>
      <c r="E388" s="2" t="s">
        <v>330</v>
      </c>
      <c r="F388" s="2" t="s">
        <v>331</v>
      </c>
    </row>
    <row r="389" customFormat="false" ht="15" hidden="false" customHeight="false" outlineLevel="0" collapsed="false">
      <c r="A389" s="2" t="s">
        <v>285</v>
      </c>
      <c r="B389" s="2" t="s">
        <v>332</v>
      </c>
      <c r="C389" s="2" t="s">
        <v>51</v>
      </c>
      <c r="D389" s="2" t="s">
        <v>319</v>
      </c>
      <c r="E389" s="2" t="s">
        <v>333</v>
      </c>
      <c r="F389" s="2" t="s">
        <v>334</v>
      </c>
    </row>
    <row r="390" customFormat="false" ht="15" hidden="false" customHeight="false" outlineLevel="0" collapsed="false">
      <c r="A390" s="2" t="s">
        <v>285</v>
      </c>
      <c r="B390" s="2" t="s">
        <v>329</v>
      </c>
      <c r="C390" s="2" t="s">
        <v>52</v>
      </c>
      <c r="D390" s="2" t="s">
        <v>319</v>
      </c>
      <c r="E390" s="2" t="s">
        <v>335</v>
      </c>
      <c r="F390" s="2" t="s">
        <v>331</v>
      </c>
    </row>
    <row r="391" customFormat="false" ht="15" hidden="false" customHeight="false" outlineLevel="0" collapsed="false">
      <c r="A391" s="2" t="s">
        <v>286</v>
      </c>
      <c r="B391" s="2" t="s">
        <v>350</v>
      </c>
      <c r="C391" s="2" t="s">
        <v>49</v>
      </c>
      <c r="D391" s="2" t="s">
        <v>315</v>
      </c>
      <c r="E391" s="2" t="s">
        <v>330</v>
      </c>
      <c r="F391" s="2" t="s">
        <v>376</v>
      </c>
    </row>
    <row r="392" customFormat="false" ht="15" hidden="false" customHeight="false" outlineLevel="0" collapsed="false">
      <c r="A392" s="2" t="s">
        <v>286</v>
      </c>
      <c r="B392" s="2" t="s">
        <v>318</v>
      </c>
      <c r="C392" s="2" t="s">
        <v>48</v>
      </c>
      <c r="D392" s="2" t="s">
        <v>319</v>
      </c>
      <c r="E392" s="2" t="s">
        <v>320</v>
      </c>
      <c r="F392" s="2" t="s">
        <v>321</v>
      </c>
    </row>
    <row r="393" customFormat="false" ht="15" hidden="false" customHeight="false" outlineLevel="0" collapsed="false">
      <c r="A393" s="2" t="s">
        <v>286</v>
      </c>
      <c r="B393" s="2" t="s">
        <v>339</v>
      </c>
      <c r="C393" s="2" t="s">
        <v>51</v>
      </c>
      <c r="D393" s="2" t="s">
        <v>319</v>
      </c>
      <c r="E393" s="2" t="s">
        <v>340</v>
      </c>
      <c r="F393" s="2" t="s">
        <v>341</v>
      </c>
    </row>
    <row r="394" customFormat="false" ht="15" hidden="false" customHeight="false" outlineLevel="0" collapsed="false">
      <c r="A394" s="2" t="s">
        <v>286</v>
      </c>
      <c r="B394" s="2" t="s">
        <v>332</v>
      </c>
      <c r="C394" s="2" t="s">
        <v>51</v>
      </c>
      <c r="D394" s="2" t="s">
        <v>319</v>
      </c>
      <c r="E394" s="2" t="s">
        <v>333</v>
      </c>
      <c r="F394" s="2" t="s">
        <v>334</v>
      </c>
    </row>
    <row r="395" customFormat="false" ht="15" hidden="false" customHeight="false" outlineLevel="0" collapsed="false">
      <c r="A395" s="2" t="s">
        <v>286</v>
      </c>
      <c r="B395" s="2" t="s">
        <v>329</v>
      </c>
      <c r="C395" s="2" t="s">
        <v>52</v>
      </c>
      <c r="D395" s="2" t="s">
        <v>319</v>
      </c>
      <c r="E395" s="2" t="s">
        <v>335</v>
      </c>
      <c r="F395" s="2" t="s">
        <v>331</v>
      </c>
    </row>
    <row r="396" customFormat="false" ht="15" hidden="false" customHeight="false" outlineLevel="0" collapsed="false">
      <c r="A396" s="2" t="s">
        <v>287</v>
      </c>
      <c r="B396" s="2" t="s">
        <v>343</v>
      </c>
      <c r="C396" s="2" t="s">
        <v>48</v>
      </c>
      <c r="D396" s="2" t="s">
        <v>315</v>
      </c>
      <c r="E396" s="2" t="s">
        <v>344</v>
      </c>
      <c r="F396" s="2" t="s">
        <v>345</v>
      </c>
    </row>
    <row r="397" customFormat="false" ht="15" hidden="false" customHeight="false" outlineLevel="0" collapsed="false">
      <c r="A397" s="2" t="s">
        <v>287</v>
      </c>
      <c r="B397" s="2" t="s">
        <v>318</v>
      </c>
      <c r="C397" s="2" t="s">
        <v>48</v>
      </c>
      <c r="D397" s="2" t="s">
        <v>319</v>
      </c>
      <c r="E397" s="2" t="s">
        <v>320</v>
      </c>
      <c r="F397" s="2" t="s">
        <v>321</v>
      </c>
    </row>
    <row r="398" customFormat="false" ht="15" hidden="false" customHeight="false" outlineLevel="0" collapsed="false">
      <c r="A398" s="2" t="s">
        <v>287</v>
      </c>
      <c r="B398" s="2" t="s">
        <v>326</v>
      </c>
      <c r="C398" s="2" t="s">
        <v>51</v>
      </c>
      <c r="D398" s="2" t="s">
        <v>319</v>
      </c>
      <c r="E398" s="2" t="s">
        <v>327</v>
      </c>
      <c r="F398" s="2" t="s">
        <v>377</v>
      </c>
    </row>
    <row r="399" customFormat="false" ht="15" hidden="false" customHeight="false" outlineLevel="0" collapsed="false">
      <c r="A399" s="2" t="s">
        <v>287</v>
      </c>
      <c r="B399" s="2" t="s">
        <v>329</v>
      </c>
      <c r="C399" s="2" t="s">
        <v>52</v>
      </c>
      <c r="D399" s="2" t="s">
        <v>319</v>
      </c>
      <c r="E399" s="2" t="s">
        <v>330</v>
      </c>
      <c r="F399" s="2" t="s">
        <v>331</v>
      </c>
    </row>
    <row r="400" customFormat="false" ht="15" hidden="false" customHeight="false" outlineLevel="0" collapsed="false">
      <c r="A400" s="2" t="s">
        <v>287</v>
      </c>
      <c r="B400" s="2" t="s">
        <v>329</v>
      </c>
      <c r="C400" s="2" t="s">
        <v>52</v>
      </c>
      <c r="D400" s="2" t="s">
        <v>319</v>
      </c>
      <c r="E400" s="2" t="s">
        <v>335</v>
      </c>
      <c r="F400" s="2" t="s">
        <v>331</v>
      </c>
    </row>
    <row r="401" customFormat="false" ht="15" hidden="false" customHeight="false" outlineLevel="0" collapsed="false">
      <c r="A401" s="2" t="s">
        <v>288</v>
      </c>
      <c r="B401" s="2" t="s">
        <v>401</v>
      </c>
      <c r="C401" s="2" t="s">
        <v>46</v>
      </c>
      <c r="D401" s="2" t="s">
        <v>315</v>
      </c>
      <c r="E401" s="2" t="s">
        <v>402</v>
      </c>
      <c r="F401" s="2" t="s">
        <v>403</v>
      </c>
    </row>
    <row r="402" customFormat="false" ht="15" hidden="false" customHeight="false" outlineLevel="0" collapsed="false">
      <c r="A402" s="2" t="s">
        <v>289</v>
      </c>
      <c r="B402" s="2" t="s">
        <v>318</v>
      </c>
      <c r="C402" s="2" t="s">
        <v>48</v>
      </c>
      <c r="D402" s="2" t="s">
        <v>319</v>
      </c>
      <c r="E402" s="2" t="s">
        <v>320</v>
      </c>
      <c r="F402" s="2" t="s">
        <v>321</v>
      </c>
    </row>
    <row r="403" customFormat="false" ht="15" hidden="false" customHeight="false" outlineLevel="0" collapsed="false">
      <c r="A403" s="2" t="s">
        <v>289</v>
      </c>
      <c r="B403" s="2" t="s">
        <v>329</v>
      </c>
      <c r="C403" s="2" t="s">
        <v>52</v>
      </c>
      <c r="D403" s="2" t="s">
        <v>319</v>
      </c>
      <c r="E403" s="2" t="s">
        <v>330</v>
      </c>
      <c r="F403" s="2" t="s">
        <v>331</v>
      </c>
    </row>
    <row r="404" customFormat="false" ht="15" hidden="false" customHeight="false" outlineLevel="0" collapsed="false">
      <c r="A404" s="2" t="s">
        <v>289</v>
      </c>
      <c r="B404" s="2" t="s">
        <v>339</v>
      </c>
      <c r="C404" s="2" t="s">
        <v>51</v>
      </c>
      <c r="D404" s="2" t="s">
        <v>319</v>
      </c>
      <c r="E404" s="2" t="s">
        <v>340</v>
      </c>
      <c r="F404" s="2" t="s">
        <v>341</v>
      </c>
    </row>
    <row r="405" customFormat="false" ht="15" hidden="false" customHeight="false" outlineLevel="0" collapsed="false">
      <c r="A405" s="2" t="s">
        <v>289</v>
      </c>
      <c r="B405" s="2" t="s">
        <v>332</v>
      </c>
      <c r="C405" s="2" t="s">
        <v>51</v>
      </c>
      <c r="D405" s="2" t="s">
        <v>319</v>
      </c>
      <c r="E405" s="2" t="s">
        <v>333</v>
      </c>
      <c r="F405" s="2" t="s">
        <v>334</v>
      </c>
    </row>
    <row r="406" customFormat="false" ht="15" hidden="false" customHeight="false" outlineLevel="0" collapsed="false">
      <c r="A406" s="2" t="s">
        <v>289</v>
      </c>
      <c r="B406" s="2" t="s">
        <v>329</v>
      </c>
      <c r="C406" s="2" t="s">
        <v>52</v>
      </c>
      <c r="D406" s="2" t="s">
        <v>319</v>
      </c>
      <c r="E406" s="2" t="s">
        <v>335</v>
      </c>
      <c r="F406" s="2" t="s">
        <v>331</v>
      </c>
    </row>
    <row r="407" customFormat="false" ht="15" hidden="false" customHeight="false" outlineLevel="0" collapsed="false">
      <c r="A407" s="2" t="s">
        <v>289</v>
      </c>
      <c r="B407" s="2" t="s">
        <v>336</v>
      </c>
      <c r="C407" s="2" t="s">
        <v>52</v>
      </c>
      <c r="D407" s="2" t="s">
        <v>319</v>
      </c>
      <c r="E407" s="2" t="s">
        <v>337</v>
      </c>
      <c r="F407" s="2" t="s">
        <v>338</v>
      </c>
    </row>
    <row r="408" customFormat="false" ht="15" hidden="false" customHeight="false" outlineLevel="0" collapsed="false">
      <c r="A408" s="2" t="s">
        <v>290</v>
      </c>
      <c r="B408" s="2" t="s">
        <v>318</v>
      </c>
      <c r="C408" s="2" t="s">
        <v>48</v>
      </c>
      <c r="D408" s="2" t="s">
        <v>319</v>
      </c>
      <c r="E408" s="2" t="s">
        <v>320</v>
      </c>
      <c r="F408" s="2" t="s">
        <v>321</v>
      </c>
    </row>
    <row r="409" customFormat="false" ht="15" hidden="false" customHeight="false" outlineLevel="0" collapsed="false">
      <c r="A409" s="2" t="s">
        <v>290</v>
      </c>
      <c r="B409" s="2" t="s">
        <v>329</v>
      </c>
      <c r="C409" s="2" t="s">
        <v>52</v>
      </c>
      <c r="D409" s="2" t="s">
        <v>319</v>
      </c>
      <c r="E409" s="2" t="s">
        <v>330</v>
      </c>
      <c r="F409" s="2" t="s">
        <v>331</v>
      </c>
    </row>
    <row r="410" customFormat="false" ht="15" hidden="false" customHeight="false" outlineLevel="0" collapsed="false">
      <c r="A410" s="2" t="s">
        <v>290</v>
      </c>
      <c r="B410" s="2" t="s">
        <v>329</v>
      </c>
      <c r="C410" s="2" t="s">
        <v>52</v>
      </c>
      <c r="D410" s="2" t="s">
        <v>319</v>
      </c>
      <c r="E410" s="2" t="s">
        <v>335</v>
      </c>
      <c r="F410" s="2" t="s">
        <v>331</v>
      </c>
    </row>
    <row r="411" customFormat="false" ht="15" hidden="false" customHeight="false" outlineLevel="0" collapsed="false">
      <c r="A411" s="2" t="s">
        <v>290</v>
      </c>
      <c r="B411" s="2" t="s">
        <v>336</v>
      </c>
      <c r="C411" s="2" t="s">
        <v>52</v>
      </c>
      <c r="D411" s="2" t="s">
        <v>319</v>
      </c>
      <c r="E411" s="2" t="s">
        <v>352</v>
      </c>
      <c r="F411" s="2" t="s">
        <v>353</v>
      </c>
    </row>
    <row r="412" customFormat="false" ht="15" hidden="false" customHeight="false" outlineLevel="0" collapsed="false">
      <c r="A412" s="2" t="s">
        <v>291</v>
      </c>
      <c r="B412" s="2" t="s">
        <v>329</v>
      </c>
      <c r="C412" s="2" t="s">
        <v>52</v>
      </c>
      <c r="D412" s="2" t="s">
        <v>319</v>
      </c>
      <c r="E412" s="2" t="s">
        <v>330</v>
      </c>
      <c r="F412" s="2" t="s">
        <v>331</v>
      </c>
    </row>
    <row r="413" customFormat="false" ht="15" hidden="false" customHeight="false" outlineLevel="0" collapsed="false">
      <c r="A413" s="2" t="s">
        <v>291</v>
      </c>
      <c r="B413" s="2" t="s">
        <v>332</v>
      </c>
      <c r="C413" s="2" t="s">
        <v>51</v>
      </c>
      <c r="D413" s="2" t="s">
        <v>319</v>
      </c>
      <c r="E413" s="2" t="s">
        <v>333</v>
      </c>
      <c r="F413" s="2" t="s">
        <v>334</v>
      </c>
    </row>
    <row r="414" customFormat="false" ht="15" hidden="false" customHeight="false" outlineLevel="0" collapsed="false">
      <c r="A414" s="2" t="s">
        <v>291</v>
      </c>
      <c r="B414" s="2" t="s">
        <v>329</v>
      </c>
      <c r="C414" s="2" t="s">
        <v>52</v>
      </c>
      <c r="D414" s="2" t="s">
        <v>319</v>
      </c>
      <c r="E414" s="2" t="s">
        <v>335</v>
      </c>
      <c r="F414" s="2" t="s">
        <v>331</v>
      </c>
    </row>
    <row r="415" customFormat="false" ht="15" hidden="false" customHeight="false" outlineLevel="0" collapsed="false">
      <c r="A415" s="2" t="s">
        <v>291</v>
      </c>
      <c r="B415" s="2" t="s">
        <v>336</v>
      </c>
      <c r="C415" s="2" t="s">
        <v>52</v>
      </c>
      <c r="D415" s="2" t="s">
        <v>319</v>
      </c>
      <c r="E415" s="2" t="s">
        <v>337</v>
      </c>
      <c r="F415" s="2" t="s">
        <v>338</v>
      </c>
    </row>
    <row r="416" customFormat="false" ht="15" hidden="false" customHeight="false" outlineLevel="0" collapsed="false">
      <c r="A416" s="2" t="s">
        <v>292</v>
      </c>
      <c r="B416" s="2" t="s">
        <v>354</v>
      </c>
      <c r="C416" s="2" t="s">
        <v>46</v>
      </c>
      <c r="D416" s="2" t="s">
        <v>315</v>
      </c>
      <c r="E416" s="2" t="s">
        <v>355</v>
      </c>
      <c r="F416" s="2" t="s">
        <v>416</v>
      </c>
    </row>
    <row r="417" customFormat="false" ht="15" hidden="false" customHeight="false" outlineLevel="0" collapsed="false">
      <c r="A417" s="2" t="s">
        <v>293</v>
      </c>
      <c r="B417" s="2" t="s">
        <v>318</v>
      </c>
      <c r="C417" s="2" t="s">
        <v>48</v>
      </c>
      <c r="D417" s="2" t="s">
        <v>319</v>
      </c>
      <c r="E417" s="2" t="s">
        <v>320</v>
      </c>
      <c r="F417" s="2" t="s">
        <v>321</v>
      </c>
    </row>
    <row r="418" customFormat="false" ht="15" hidden="false" customHeight="false" outlineLevel="0" collapsed="false">
      <c r="A418" s="2" t="s">
        <v>293</v>
      </c>
      <c r="B418" s="2" t="s">
        <v>329</v>
      </c>
      <c r="C418" s="2" t="s">
        <v>52</v>
      </c>
      <c r="D418" s="2" t="s">
        <v>319</v>
      </c>
      <c r="E418" s="2" t="s">
        <v>330</v>
      </c>
      <c r="F418" s="2" t="s">
        <v>331</v>
      </c>
    </row>
    <row r="419" customFormat="false" ht="15" hidden="false" customHeight="false" outlineLevel="0" collapsed="false">
      <c r="A419" s="2" t="s">
        <v>293</v>
      </c>
      <c r="B419" s="2" t="s">
        <v>332</v>
      </c>
      <c r="C419" s="2" t="s">
        <v>51</v>
      </c>
      <c r="D419" s="2" t="s">
        <v>319</v>
      </c>
      <c r="E419" s="2" t="s">
        <v>333</v>
      </c>
      <c r="F419" s="2" t="s">
        <v>334</v>
      </c>
    </row>
    <row r="420" customFormat="false" ht="15" hidden="false" customHeight="false" outlineLevel="0" collapsed="false">
      <c r="A420" s="2" t="s">
        <v>293</v>
      </c>
      <c r="B420" s="2" t="s">
        <v>329</v>
      </c>
      <c r="C420" s="2" t="s">
        <v>52</v>
      </c>
      <c r="D420" s="2" t="s">
        <v>319</v>
      </c>
      <c r="E420" s="2" t="s">
        <v>335</v>
      </c>
      <c r="F420" s="2" t="s">
        <v>331</v>
      </c>
    </row>
    <row r="421" customFormat="false" ht="15" hidden="false" customHeight="false" outlineLevel="0" collapsed="false">
      <c r="A421" s="2" t="s">
        <v>294</v>
      </c>
      <c r="B421" s="2" t="s">
        <v>322</v>
      </c>
      <c r="C421" s="2" t="s">
        <v>51</v>
      </c>
      <c r="D421" s="2" t="s">
        <v>323</v>
      </c>
      <c r="E421" s="2" t="s">
        <v>324</v>
      </c>
      <c r="F421" s="2" t="s">
        <v>325</v>
      </c>
    </row>
    <row r="422" customFormat="false" ht="15" hidden="false" customHeight="false" outlineLevel="0" collapsed="false">
      <c r="A422" s="2" t="s">
        <v>294</v>
      </c>
      <c r="B422" s="2" t="s">
        <v>329</v>
      </c>
      <c r="C422" s="2" t="s">
        <v>52</v>
      </c>
      <c r="D422" s="2" t="s">
        <v>319</v>
      </c>
      <c r="E422" s="2" t="s">
        <v>330</v>
      </c>
      <c r="F422" s="2" t="s">
        <v>331</v>
      </c>
    </row>
    <row r="423" customFormat="false" ht="15" hidden="false" customHeight="false" outlineLevel="0" collapsed="false">
      <c r="A423" s="2" t="s">
        <v>294</v>
      </c>
      <c r="B423" s="2" t="s">
        <v>329</v>
      </c>
      <c r="C423" s="2" t="s">
        <v>52</v>
      </c>
      <c r="D423" s="2" t="s">
        <v>319</v>
      </c>
      <c r="E423" s="2" t="s">
        <v>335</v>
      </c>
      <c r="F423" s="2" t="s">
        <v>331</v>
      </c>
    </row>
    <row r="424" customFormat="false" ht="15" hidden="false" customHeight="false" outlineLevel="0" collapsed="false">
      <c r="A424" s="2" t="s">
        <v>294</v>
      </c>
      <c r="B424" s="2" t="s">
        <v>336</v>
      </c>
      <c r="C424" s="2" t="s">
        <v>52</v>
      </c>
      <c r="D424" s="2" t="s">
        <v>319</v>
      </c>
      <c r="E424" s="2" t="s">
        <v>337</v>
      </c>
      <c r="F424" s="2" t="s">
        <v>338</v>
      </c>
    </row>
    <row r="425" customFormat="false" ht="15" hidden="false" customHeight="false" outlineLevel="0" collapsed="false">
      <c r="A425" s="2" t="s">
        <v>295</v>
      </c>
      <c r="B425" s="2" t="s">
        <v>318</v>
      </c>
      <c r="C425" s="2" t="s">
        <v>48</v>
      </c>
      <c r="D425" s="2" t="s">
        <v>319</v>
      </c>
      <c r="E425" s="2" t="s">
        <v>320</v>
      </c>
      <c r="F425" s="2" t="s">
        <v>321</v>
      </c>
    </row>
    <row r="426" customFormat="false" ht="15" hidden="false" customHeight="false" outlineLevel="0" collapsed="false">
      <c r="A426" s="2" t="s">
        <v>295</v>
      </c>
      <c r="B426" s="2" t="s">
        <v>326</v>
      </c>
      <c r="C426" s="2" t="s">
        <v>51</v>
      </c>
      <c r="D426" s="2" t="s">
        <v>319</v>
      </c>
      <c r="E426" s="2" t="s">
        <v>327</v>
      </c>
      <c r="F426" s="2" t="s">
        <v>375</v>
      </c>
    </row>
    <row r="427" customFormat="false" ht="15" hidden="false" customHeight="false" outlineLevel="0" collapsed="false">
      <c r="A427" s="2" t="s">
        <v>295</v>
      </c>
      <c r="B427" s="2" t="s">
        <v>329</v>
      </c>
      <c r="C427" s="2" t="s">
        <v>52</v>
      </c>
      <c r="D427" s="2" t="s">
        <v>319</v>
      </c>
      <c r="E427" s="2" t="s">
        <v>330</v>
      </c>
      <c r="F427" s="2" t="s">
        <v>331</v>
      </c>
    </row>
    <row r="428" customFormat="false" ht="15" hidden="false" customHeight="false" outlineLevel="0" collapsed="false">
      <c r="A428" s="2" t="s">
        <v>295</v>
      </c>
      <c r="B428" s="2" t="s">
        <v>329</v>
      </c>
      <c r="C428" s="2" t="s">
        <v>52</v>
      </c>
      <c r="D428" s="2" t="s">
        <v>319</v>
      </c>
      <c r="E428" s="2" t="s">
        <v>335</v>
      </c>
      <c r="F428" s="2" t="s">
        <v>331</v>
      </c>
    </row>
    <row r="429" customFormat="false" ht="15" hidden="false" customHeight="false" outlineLevel="0" collapsed="false">
      <c r="A429" s="2" t="s">
        <v>296</v>
      </c>
      <c r="B429" s="2" t="s">
        <v>318</v>
      </c>
      <c r="C429" s="2" t="s">
        <v>48</v>
      </c>
      <c r="D429" s="2" t="s">
        <v>319</v>
      </c>
      <c r="E429" s="2" t="s">
        <v>320</v>
      </c>
      <c r="F429" s="2" t="s">
        <v>321</v>
      </c>
    </row>
    <row r="430" customFormat="false" ht="15" hidden="false" customHeight="false" outlineLevel="0" collapsed="false">
      <c r="A430" s="2" t="s">
        <v>296</v>
      </c>
      <c r="B430" s="2" t="s">
        <v>322</v>
      </c>
      <c r="C430" s="2" t="s">
        <v>51</v>
      </c>
      <c r="D430" s="2" t="s">
        <v>323</v>
      </c>
      <c r="E430" s="2" t="s">
        <v>324</v>
      </c>
      <c r="F430" s="2" t="s">
        <v>325</v>
      </c>
    </row>
    <row r="431" customFormat="false" ht="15" hidden="false" customHeight="false" outlineLevel="0" collapsed="false">
      <c r="A431" s="2" t="s">
        <v>296</v>
      </c>
      <c r="B431" s="2" t="s">
        <v>326</v>
      </c>
      <c r="C431" s="2" t="s">
        <v>51</v>
      </c>
      <c r="D431" s="2" t="s">
        <v>319</v>
      </c>
      <c r="E431" s="2" t="s">
        <v>327</v>
      </c>
      <c r="F431" s="2" t="s">
        <v>417</v>
      </c>
    </row>
    <row r="432" customFormat="false" ht="15" hidden="false" customHeight="false" outlineLevel="0" collapsed="false">
      <c r="A432" s="2" t="s">
        <v>296</v>
      </c>
      <c r="B432" s="2" t="s">
        <v>329</v>
      </c>
      <c r="C432" s="2" t="s">
        <v>52</v>
      </c>
      <c r="D432" s="2" t="s">
        <v>319</v>
      </c>
      <c r="E432" s="2" t="s">
        <v>330</v>
      </c>
      <c r="F432" s="2" t="s">
        <v>331</v>
      </c>
    </row>
    <row r="433" customFormat="false" ht="15" hidden="false" customHeight="false" outlineLevel="0" collapsed="false">
      <c r="A433" s="2" t="s">
        <v>296</v>
      </c>
      <c r="B433" s="2" t="s">
        <v>332</v>
      </c>
      <c r="C433" s="2" t="s">
        <v>51</v>
      </c>
      <c r="D433" s="2" t="s">
        <v>319</v>
      </c>
      <c r="E433" s="2" t="s">
        <v>333</v>
      </c>
      <c r="F433" s="2" t="s">
        <v>334</v>
      </c>
    </row>
    <row r="434" customFormat="false" ht="15" hidden="false" customHeight="false" outlineLevel="0" collapsed="false">
      <c r="A434" s="2" t="s">
        <v>296</v>
      </c>
      <c r="B434" s="2" t="s">
        <v>329</v>
      </c>
      <c r="C434" s="2" t="s">
        <v>52</v>
      </c>
      <c r="D434" s="2" t="s">
        <v>319</v>
      </c>
      <c r="E434" s="2" t="s">
        <v>335</v>
      </c>
      <c r="F434" s="2" t="s">
        <v>331</v>
      </c>
    </row>
    <row r="435" customFormat="false" ht="15" hidden="false" customHeight="false" outlineLevel="0" collapsed="false">
      <c r="A435" s="2" t="s">
        <v>297</v>
      </c>
      <c r="B435" s="2" t="s">
        <v>350</v>
      </c>
      <c r="C435" s="2" t="s">
        <v>49</v>
      </c>
      <c r="D435" s="2" t="s">
        <v>315</v>
      </c>
      <c r="E435" s="2" t="s">
        <v>330</v>
      </c>
      <c r="F435" s="2" t="s">
        <v>376</v>
      </c>
    </row>
    <row r="436" customFormat="false" ht="15" hidden="false" customHeight="false" outlineLevel="0" collapsed="false">
      <c r="A436" s="2" t="s">
        <v>297</v>
      </c>
      <c r="B436" s="2" t="s">
        <v>318</v>
      </c>
      <c r="C436" s="2" t="s">
        <v>48</v>
      </c>
      <c r="D436" s="2" t="s">
        <v>319</v>
      </c>
      <c r="E436" s="2" t="s">
        <v>320</v>
      </c>
      <c r="F436" s="2" t="s">
        <v>321</v>
      </c>
    </row>
    <row r="437" customFormat="false" ht="15" hidden="false" customHeight="false" outlineLevel="0" collapsed="false">
      <c r="A437" s="2" t="s">
        <v>297</v>
      </c>
      <c r="B437" s="2" t="s">
        <v>339</v>
      </c>
      <c r="C437" s="2" t="s">
        <v>51</v>
      </c>
      <c r="D437" s="2" t="s">
        <v>319</v>
      </c>
      <c r="E437" s="2" t="s">
        <v>340</v>
      </c>
      <c r="F437" s="2" t="s">
        <v>341</v>
      </c>
    </row>
    <row r="438" customFormat="false" ht="15" hidden="false" customHeight="false" outlineLevel="0" collapsed="false">
      <c r="A438" s="2" t="s">
        <v>297</v>
      </c>
      <c r="B438" s="2" t="s">
        <v>332</v>
      </c>
      <c r="C438" s="2" t="s">
        <v>51</v>
      </c>
      <c r="D438" s="2" t="s">
        <v>319</v>
      </c>
      <c r="E438" s="2" t="s">
        <v>333</v>
      </c>
      <c r="F438" s="2" t="s">
        <v>334</v>
      </c>
    </row>
    <row r="439" customFormat="false" ht="15" hidden="false" customHeight="false" outlineLevel="0" collapsed="false">
      <c r="A439" s="2" t="s">
        <v>297</v>
      </c>
      <c r="B439" s="2" t="s">
        <v>329</v>
      </c>
      <c r="C439" s="2" t="s">
        <v>52</v>
      </c>
      <c r="D439" s="2" t="s">
        <v>319</v>
      </c>
      <c r="E439" s="2" t="s">
        <v>335</v>
      </c>
      <c r="F439" s="2" t="s">
        <v>331</v>
      </c>
    </row>
    <row r="440" customFormat="false" ht="15" hidden="false" customHeight="false" outlineLevel="0" collapsed="false">
      <c r="A440" s="2" t="s">
        <v>297</v>
      </c>
      <c r="B440" s="2" t="s">
        <v>336</v>
      </c>
      <c r="C440" s="2" t="s">
        <v>52</v>
      </c>
      <c r="D440" s="2" t="s">
        <v>319</v>
      </c>
      <c r="E440" s="2" t="s">
        <v>352</v>
      </c>
      <c r="F440" s="2" t="s">
        <v>353</v>
      </c>
    </row>
    <row r="441" customFormat="false" ht="15" hidden="false" customHeight="false" outlineLevel="0" collapsed="false">
      <c r="A441" s="2" t="s">
        <v>298</v>
      </c>
      <c r="B441" s="2" t="s">
        <v>360</v>
      </c>
      <c r="C441" s="2" t="s">
        <v>48</v>
      </c>
      <c r="D441" s="2" t="s">
        <v>315</v>
      </c>
      <c r="E441" s="2" t="s">
        <v>418</v>
      </c>
      <c r="F441" s="2" t="s">
        <v>419</v>
      </c>
    </row>
    <row r="442" customFormat="false" ht="15" hidden="false" customHeight="false" outlineLevel="0" collapsed="false">
      <c r="A442" s="2" t="s">
        <v>298</v>
      </c>
      <c r="B442" s="2" t="s">
        <v>318</v>
      </c>
      <c r="C442" s="2" t="s">
        <v>48</v>
      </c>
      <c r="D442" s="2" t="s">
        <v>319</v>
      </c>
      <c r="E442" s="2" t="s">
        <v>320</v>
      </c>
      <c r="F442" s="2" t="s">
        <v>321</v>
      </c>
    </row>
    <row r="443" customFormat="false" ht="15" hidden="false" customHeight="false" outlineLevel="0" collapsed="false">
      <c r="A443" s="2" t="s">
        <v>298</v>
      </c>
      <c r="B443" s="2" t="s">
        <v>329</v>
      </c>
      <c r="C443" s="2" t="s">
        <v>52</v>
      </c>
      <c r="D443" s="2" t="s">
        <v>319</v>
      </c>
      <c r="E443" s="2" t="s">
        <v>330</v>
      </c>
      <c r="F443" s="2" t="s">
        <v>331</v>
      </c>
    </row>
    <row r="444" customFormat="false" ht="15" hidden="false" customHeight="false" outlineLevel="0" collapsed="false">
      <c r="A444" s="2" t="s">
        <v>298</v>
      </c>
      <c r="B444" s="2" t="s">
        <v>332</v>
      </c>
      <c r="C444" s="2" t="s">
        <v>51</v>
      </c>
      <c r="D444" s="2" t="s">
        <v>319</v>
      </c>
      <c r="E444" s="2" t="s">
        <v>333</v>
      </c>
      <c r="F444" s="2" t="s">
        <v>334</v>
      </c>
    </row>
    <row r="445" customFormat="false" ht="15" hidden="false" customHeight="false" outlineLevel="0" collapsed="false">
      <c r="A445" s="2" t="s">
        <v>298</v>
      </c>
      <c r="B445" s="2" t="s">
        <v>329</v>
      </c>
      <c r="C445" s="2" t="s">
        <v>52</v>
      </c>
      <c r="D445" s="2" t="s">
        <v>319</v>
      </c>
      <c r="E445" s="2" t="s">
        <v>335</v>
      </c>
      <c r="F445" s="2" t="s">
        <v>331</v>
      </c>
    </row>
    <row r="446" customFormat="false" ht="15" hidden="false" customHeight="false" outlineLevel="0" collapsed="false">
      <c r="A446" s="2" t="s">
        <v>298</v>
      </c>
      <c r="B446" s="2" t="s">
        <v>336</v>
      </c>
      <c r="C446" s="2" t="s">
        <v>52</v>
      </c>
      <c r="D446" s="2" t="s">
        <v>319</v>
      </c>
      <c r="E446" s="2" t="s">
        <v>337</v>
      </c>
      <c r="F446" s="2" t="s">
        <v>338</v>
      </c>
    </row>
    <row r="447" customFormat="false" ht="15" hidden="false" customHeight="false" outlineLevel="0" collapsed="false">
      <c r="A447" s="2" t="s">
        <v>299</v>
      </c>
      <c r="B447" s="2" t="s">
        <v>318</v>
      </c>
      <c r="C447" s="2" t="s">
        <v>48</v>
      </c>
      <c r="D447" s="2" t="s">
        <v>319</v>
      </c>
      <c r="E447" s="2" t="s">
        <v>320</v>
      </c>
      <c r="F447" s="2" t="s">
        <v>321</v>
      </c>
    </row>
    <row r="448" customFormat="false" ht="15" hidden="false" customHeight="false" outlineLevel="0" collapsed="false">
      <c r="A448" s="2" t="s">
        <v>299</v>
      </c>
      <c r="B448" s="2" t="s">
        <v>329</v>
      </c>
      <c r="C448" s="2" t="s">
        <v>52</v>
      </c>
      <c r="D448" s="2" t="s">
        <v>319</v>
      </c>
      <c r="E448" s="2" t="s">
        <v>330</v>
      </c>
      <c r="F448" s="2" t="s">
        <v>331</v>
      </c>
    </row>
    <row r="449" customFormat="false" ht="15" hidden="false" customHeight="false" outlineLevel="0" collapsed="false">
      <c r="A449" s="2" t="s">
        <v>299</v>
      </c>
      <c r="B449" s="2" t="s">
        <v>332</v>
      </c>
      <c r="C449" s="2" t="s">
        <v>51</v>
      </c>
      <c r="D449" s="2" t="s">
        <v>319</v>
      </c>
      <c r="E449" s="2" t="s">
        <v>333</v>
      </c>
      <c r="F449" s="2" t="s">
        <v>334</v>
      </c>
    </row>
    <row r="450" customFormat="false" ht="15" hidden="false" customHeight="false" outlineLevel="0" collapsed="false">
      <c r="A450" s="2" t="s">
        <v>299</v>
      </c>
      <c r="B450" s="2" t="s">
        <v>329</v>
      </c>
      <c r="C450" s="2" t="s">
        <v>52</v>
      </c>
      <c r="D450" s="2" t="s">
        <v>319</v>
      </c>
      <c r="E450" s="2" t="s">
        <v>335</v>
      </c>
      <c r="F450" s="2" t="s">
        <v>331</v>
      </c>
    </row>
    <row r="451" customFormat="false" ht="15" hidden="false" customHeight="false" outlineLevel="0" collapsed="false">
      <c r="A451" s="2" t="s">
        <v>299</v>
      </c>
      <c r="B451" s="2" t="s">
        <v>336</v>
      </c>
      <c r="C451" s="2" t="s">
        <v>52</v>
      </c>
      <c r="D451" s="2" t="s">
        <v>319</v>
      </c>
      <c r="E451" s="2" t="s">
        <v>337</v>
      </c>
      <c r="F451" s="2" t="s">
        <v>338</v>
      </c>
    </row>
    <row r="452" customFormat="false" ht="15" hidden="false" customHeight="false" outlineLevel="0" collapsed="false">
      <c r="A452" s="2" t="s">
        <v>300</v>
      </c>
      <c r="B452" s="2" t="s">
        <v>350</v>
      </c>
      <c r="C452" s="2" t="s">
        <v>49</v>
      </c>
      <c r="D452" s="2" t="s">
        <v>315</v>
      </c>
      <c r="E452" s="2" t="s">
        <v>335</v>
      </c>
      <c r="F452" s="2" t="s">
        <v>351</v>
      </c>
    </row>
    <row r="453" customFormat="false" ht="15" hidden="false" customHeight="false" outlineLevel="0" collapsed="false">
      <c r="A453" s="2" t="s">
        <v>300</v>
      </c>
      <c r="B453" s="2" t="s">
        <v>318</v>
      </c>
      <c r="C453" s="2" t="s">
        <v>48</v>
      </c>
      <c r="D453" s="2" t="s">
        <v>319</v>
      </c>
      <c r="E453" s="2" t="s">
        <v>320</v>
      </c>
      <c r="F453" s="2" t="s">
        <v>321</v>
      </c>
    </row>
    <row r="454" customFormat="false" ht="15" hidden="false" customHeight="false" outlineLevel="0" collapsed="false">
      <c r="A454" s="2" t="s">
        <v>300</v>
      </c>
      <c r="B454" s="2" t="s">
        <v>326</v>
      </c>
      <c r="C454" s="2" t="s">
        <v>51</v>
      </c>
      <c r="D454" s="2" t="s">
        <v>319</v>
      </c>
      <c r="E454" s="2" t="s">
        <v>327</v>
      </c>
      <c r="F454" s="2" t="s">
        <v>420</v>
      </c>
    </row>
    <row r="455" customFormat="false" ht="15" hidden="false" customHeight="false" outlineLevel="0" collapsed="false">
      <c r="A455" s="2" t="s">
        <v>300</v>
      </c>
      <c r="B455" s="2" t="s">
        <v>329</v>
      </c>
      <c r="C455" s="2" t="s">
        <v>52</v>
      </c>
      <c r="D455" s="2" t="s">
        <v>319</v>
      </c>
      <c r="E455" s="2" t="s">
        <v>330</v>
      </c>
      <c r="F455" s="2" t="s">
        <v>331</v>
      </c>
    </row>
    <row r="456" customFormat="false" ht="15" hidden="false" customHeight="false" outlineLevel="0" collapsed="false">
      <c r="A456" s="2" t="s">
        <v>300</v>
      </c>
      <c r="B456" s="2" t="s">
        <v>339</v>
      </c>
      <c r="C456" s="2" t="s">
        <v>51</v>
      </c>
      <c r="D456" s="2" t="s">
        <v>319</v>
      </c>
      <c r="E456" s="2" t="s">
        <v>340</v>
      </c>
      <c r="F456" s="2" t="s">
        <v>341</v>
      </c>
    </row>
    <row r="457" customFormat="false" ht="15" hidden="false" customHeight="false" outlineLevel="0" collapsed="false">
      <c r="A457" s="2" t="s">
        <v>300</v>
      </c>
      <c r="B457" s="2" t="s">
        <v>332</v>
      </c>
      <c r="C457" s="2" t="s">
        <v>51</v>
      </c>
      <c r="D457" s="2" t="s">
        <v>319</v>
      </c>
      <c r="E457" s="2" t="s">
        <v>333</v>
      </c>
      <c r="F457" s="2" t="s">
        <v>334</v>
      </c>
    </row>
    <row r="458" customFormat="false" ht="15" hidden="false" customHeight="false" outlineLevel="0" collapsed="false">
      <c r="A458" s="2" t="s">
        <v>300</v>
      </c>
      <c r="B458" s="2" t="s">
        <v>336</v>
      </c>
      <c r="C458" s="2" t="s">
        <v>52</v>
      </c>
      <c r="D458" s="2" t="s">
        <v>319</v>
      </c>
      <c r="E458" s="2" t="s">
        <v>337</v>
      </c>
      <c r="F458" s="2" t="s">
        <v>338</v>
      </c>
    </row>
    <row r="459" customFormat="false" ht="15" hidden="false" customHeight="false" outlineLevel="0" collapsed="false">
      <c r="A459" s="2" t="s">
        <v>301</v>
      </c>
      <c r="B459" s="2" t="s">
        <v>394</v>
      </c>
      <c r="C459" s="2" t="s">
        <v>48</v>
      </c>
      <c r="D459" s="2" t="s">
        <v>315</v>
      </c>
      <c r="E459" s="2" t="s">
        <v>361</v>
      </c>
      <c r="F459" s="2" t="s">
        <v>421</v>
      </c>
    </row>
    <row r="460" customFormat="false" ht="15" hidden="false" customHeight="false" outlineLevel="0" collapsed="false">
      <c r="A460" s="2" t="s">
        <v>301</v>
      </c>
      <c r="B460" s="2" t="s">
        <v>360</v>
      </c>
      <c r="C460" s="2" t="s">
        <v>48</v>
      </c>
      <c r="D460" s="2" t="s">
        <v>315</v>
      </c>
      <c r="E460" s="2" t="s">
        <v>361</v>
      </c>
      <c r="F460" s="2" t="s">
        <v>422</v>
      </c>
    </row>
    <row r="461" customFormat="false" ht="15" hidden="false" customHeight="false" outlineLevel="0" collapsed="false">
      <c r="A461" s="2" t="s">
        <v>301</v>
      </c>
      <c r="B461" s="2" t="s">
        <v>318</v>
      </c>
      <c r="C461" s="2" t="s">
        <v>48</v>
      </c>
      <c r="D461" s="2" t="s">
        <v>319</v>
      </c>
      <c r="E461" s="2" t="s">
        <v>320</v>
      </c>
      <c r="F461" s="2" t="s">
        <v>321</v>
      </c>
    </row>
    <row r="462" customFormat="false" ht="15" hidden="false" customHeight="false" outlineLevel="0" collapsed="false">
      <c r="A462" s="2" t="s">
        <v>301</v>
      </c>
      <c r="B462" s="2" t="s">
        <v>322</v>
      </c>
      <c r="C462" s="2" t="s">
        <v>51</v>
      </c>
      <c r="D462" s="2" t="s">
        <v>323</v>
      </c>
      <c r="E462" s="2" t="s">
        <v>324</v>
      </c>
      <c r="F462" s="2" t="s">
        <v>325</v>
      </c>
    </row>
    <row r="463" customFormat="false" ht="15" hidden="false" customHeight="false" outlineLevel="0" collapsed="false">
      <c r="A463" s="2" t="s">
        <v>301</v>
      </c>
      <c r="B463" s="2" t="s">
        <v>329</v>
      </c>
      <c r="C463" s="2" t="s">
        <v>52</v>
      </c>
      <c r="D463" s="2" t="s">
        <v>319</v>
      </c>
      <c r="E463" s="2" t="s">
        <v>330</v>
      </c>
      <c r="F463" s="2" t="s">
        <v>331</v>
      </c>
    </row>
    <row r="464" customFormat="false" ht="15" hidden="false" customHeight="false" outlineLevel="0" collapsed="false">
      <c r="A464" s="2" t="s">
        <v>301</v>
      </c>
      <c r="B464" s="2" t="s">
        <v>332</v>
      </c>
      <c r="C464" s="2" t="s">
        <v>51</v>
      </c>
      <c r="D464" s="2" t="s">
        <v>319</v>
      </c>
      <c r="E464" s="2" t="s">
        <v>333</v>
      </c>
      <c r="F464" s="2" t="s">
        <v>334</v>
      </c>
    </row>
    <row r="465" customFormat="false" ht="15" hidden="false" customHeight="false" outlineLevel="0" collapsed="false">
      <c r="A465" s="2" t="s">
        <v>301</v>
      </c>
      <c r="B465" s="2" t="s">
        <v>329</v>
      </c>
      <c r="C465" s="2" t="s">
        <v>52</v>
      </c>
      <c r="D465" s="2" t="s">
        <v>319</v>
      </c>
      <c r="E465" s="2" t="s">
        <v>335</v>
      </c>
      <c r="F465" s="2" t="s">
        <v>331</v>
      </c>
    </row>
    <row r="466" customFormat="false" ht="15" hidden="false" customHeight="false" outlineLevel="0" collapsed="false">
      <c r="A466" s="2" t="s">
        <v>302</v>
      </c>
      <c r="B466" s="2" t="s">
        <v>318</v>
      </c>
      <c r="C466" s="2" t="s">
        <v>48</v>
      </c>
      <c r="D466" s="2" t="s">
        <v>319</v>
      </c>
      <c r="E466" s="2" t="s">
        <v>320</v>
      </c>
      <c r="F466" s="2" t="s">
        <v>321</v>
      </c>
    </row>
    <row r="467" customFormat="false" ht="15" hidden="false" customHeight="false" outlineLevel="0" collapsed="false">
      <c r="A467" s="2" t="s">
        <v>302</v>
      </c>
      <c r="B467" s="2" t="s">
        <v>326</v>
      </c>
      <c r="C467" s="2" t="s">
        <v>51</v>
      </c>
      <c r="D467" s="2" t="s">
        <v>319</v>
      </c>
      <c r="E467" s="2" t="s">
        <v>327</v>
      </c>
      <c r="F467" s="2" t="s">
        <v>388</v>
      </c>
    </row>
    <row r="468" customFormat="false" ht="15" hidden="false" customHeight="false" outlineLevel="0" collapsed="false">
      <c r="A468" s="2" t="s">
        <v>302</v>
      </c>
      <c r="B468" s="2" t="s">
        <v>329</v>
      </c>
      <c r="C468" s="2" t="s">
        <v>52</v>
      </c>
      <c r="D468" s="2" t="s">
        <v>319</v>
      </c>
      <c r="E468" s="2" t="s">
        <v>330</v>
      </c>
      <c r="F468" s="2" t="s">
        <v>331</v>
      </c>
    </row>
    <row r="469" customFormat="false" ht="15" hidden="false" customHeight="false" outlineLevel="0" collapsed="false">
      <c r="A469" s="2" t="s">
        <v>302</v>
      </c>
      <c r="B469" s="2" t="s">
        <v>339</v>
      </c>
      <c r="C469" s="2" t="s">
        <v>51</v>
      </c>
      <c r="D469" s="2" t="s">
        <v>319</v>
      </c>
      <c r="E469" s="2" t="s">
        <v>340</v>
      </c>
      <c r="F469" s="2" t="s">
        <v>341</v>
      </c>
    </row>
    <row r="470" customFormat="false" ht="15" hidden="false" customHeight="false" outlineLevel="0" collapsed="false">
      <c r="A470" s="2" t="s">
        <v>302</v>
      </c>
      <c r="B470" s="2" t="s">
        <v>332</v>
      </c>
      <c r="C470" s="2" t="s">
        <v>51</v>
      </c>
      <c r="D470" s="2" t="s">
        <v>319</v>
      </c>
      <c r="E470" s="2" t="s">
        <v>333</v>
      </c>
      <c r="F470" s="2" t="s">
        <v>334</v>
      </c>
    </row>
    <row r="471" customFormat="false" ht="15" hidden="false" customHeight="false" outlineLevel="0" collapsed="false">
      <c r="A471" s="2" t="s">
        <v>302</v>
      </c>
      <c r="B471" s="2" t="s">
        <v>329</v>
      </c>
      <c r="C471" s="2" t="s">
        <v>52</v>
      </c>
      <c r="D471" s="2" t="s">
        <v>319</v>
      </c>
      <c r="E471" s="2" t="s">
        <v>335</v>
      </c>
      <c r="F471" s="2" t="s">
        <v>331</v>
      </c>
    </row>
    <row r="472" customFormat="false" ht="15" hidden="false" customHeight="false" outlineLevel="0" collapsed="false">
      <c r="A472" s="2" t="s">
        <v>303</v>
      </c>
      <c r="B472" s="2" t="s">
        <v>364</v>
      </c>
      <c r="C472" s="2" t="s">
        <v>48</v>
      </c>
      <c r="D472" s="2" t="s">
        <v>323</v>
      </c>
      <c r="E472" s="2" t="s">
        <v>358</v>
      </c>
      <c r="F472" s="2" t="s">
        <v>365</v>
      </c>
    </row>
    <row r="473" customFormat="false" ht="15" hidden="false" customHeight="false" outlineLevel="0" collapsed="false">
      <c r="A473" s="2" t="s">
        <v>303</v>
      </c>
      <c r="B473" s="2" t="s">
        <v>318</v>
      </c>
      <c r="C473" s="2" t="s">
        <v>48</v>
      </c>
      <c r="D473" s="2" t="s">
        <v>319</v>
      </c>
      <c r="E473" s="2" t="s">
        <v>320</v>
      </c>
      <c r="F473" s="2" t="s">
        <v>321</v>
      </c>
    </row>
    <row r="474" customFormat="false" ht="15" hidden="false" customHeight="false" outlineLevel="0" collapsed="false">
      <c r="A474" s="2" t="s">
        <v>303</v>
      </c>
      <c r="B474" s="2" t="s">
        <v>329</v>
      </c>
      <c r="C474" s="2" t="s">
        <v>52</v>
      </c>
      <c r="D474" s="2" t="s">
        <v>319</v>
      </c>
      <c r="E474" s="2" t="s">
        <v>330</v>
      </c>
      <c r="F474" s="2" t="s">
        <v>331</v>
      </c>
    </row>
    <row r="475" customFormat="false" ht="15" hidden="false" customHeight="false" outlineLevel="0" collapsed="false">
      <c r="A475" s="2" t="s">
        <v>303</v>
      </c>
      <c r="B475" s="2" t="s">
        <v>339</v>
      </c>
      <c r="C475" s="2" t="s">
        <v>51</v>
      </c>
      <c r="D475" s="2" t="s">
        <v>319</v>
      </c>
      <c r="E475" s="2" t="s">
        <v>340</v>
      </c>
      <c r="F475" s="2" t="s">
        <v>341</v>
      </c>
    </row>
    <row r="476" customFormat="false" ht="15" hidden="false" customHeight="false" outlineLevel="0" collapsed="false">
      <c r="A476" s="2" t="s">
        <v>303</v>
      </c>
      <c r="B476" s="2" t="s">
        <v>332</v>
      </c>
      <c r="C476" s="2" t="s">
        <v>51</v>
      </c>
      <c r="D476" s="2" t="s">
        <v>319</v>
      </c>
      <c r="E476" s="2" t="s">
        <v>333</v>
      </c>
      <c r="F476" s="2" t="s">
        <v>334</v>
      </c>
    </row>
    <row r="477" customFormat="false" ht="15" hidden="false" customHeight="false" outlineLevel="0" collapsed="false">
      <c r="A477" s="2" t="s">
        <v>303</v>
      </c>
      <c r="B477" s="2" t="s">
        <v>329</v>
      </c>
      <c r="C477" s="2" t="s">
        <v>52</v>
      </c>
      <c r="D477" s="2" t="s">
        <v>319</v>
      </c>
      <c r="E477" s="2" t="s">
        <v>335</v>
      </c>
      <c r="F477" s="2" t="s">
        <v>331</v>
      </c>
    </row>
    <row r="478" customFormat="false" ht="15" hidden="false" customHeight="false" outlineLevel="0" collapsed="false">
      <c r="A478" s="2" t="s">
        <v>304</v>
      </c>
      <c r="B478" s="2" t="s">
        <v>318</v>
      </c>
      <c r="C478" s="2" t="s">
        <v>48</v>
      </c>
      <c r="D478" s="2" t="s">
        <v>319</v>
      </c>
      <c r="E478" s="2" t="s">
        <v>320</v>
      </c>
      <c r="F478" s="2" t="s">
        <v>321</v>
      </c>
    </row>
    <row r="479" customFormat="false" ht="15" hidden="false" customHeight="false" outlineLevel="0" collapsed="false">
      <c r="A479" s="2" t="s">
        <v>304</v>
      </c>
      <c r="B479" s="2" t="s">
        <v>329</v>
      </c>
      <c r="C479" s="2" t="s">
        <v>52</v>
      </c>
      <c r="D479" s="2" t="s">
        <v>319</v>
      </c>
      <c r="E479" s="2" t="s">
        <v>330</v>
      </c>
      <c r="F479" s="2" t="s">
        <v>331</v>
      </c>
    </row>
    <row r="480" customFormat="false" ht="15" hidden="false" customHeight="false" outlineLevel="0" collapsed="false">
      <c r="A480" s="2" t="s">
        <v>304</v>
      </c>
      <c r="B480" s="2" t="s">
        <v>339</v>
      </c>
      <c r="C480" s="2" t="s">
        <v>51</v>
      </c>
      <c r="D480" s="2" t="s">
        <v>319</v>
      </c>
      <c r="E480" s="2" t="s">
        <v>340</v>
      </c>
      <c r="F480" s="2" t="s">
        <v>341</v>
      </c>
    </row>
    <row r="481" customFormat="false" ht="15" hidden="false" customHeight="false" outlineLevel="0" collapsed="false">
      <c r="A481" s="2" t="s">
        <v>304</v>
      </c>
      <c r="B481" s="2" t="s">
        <v>332</v>
      </c>
      <c r="C481" s="2" t="s">
        <v>51</v>
      </c>
      <c r="D481" s="2" t="s">
        <v>319</v>
      </c>
      <c r="E481" s="2" t="s">
        <v>333</v>
      </c>
      <c r="F481" s="2" t="s">
        <v>334</v>
      </c>
    </row>
    <row r="482" customFormat="false" ht="15" hidden="false" customHeight="false" outlineLevel="0" collapsed="false">
      <c r="A482" s="2" t="s">
        <v>304</v>
      </c>
      <c r="B482" s="2" t="s">
        <v>369</v>
      </c>
      <c r="C482" s="2" t="s">
        <v>50</v>
      </c>
      <c r="D482" s="2" t="s">
        <v>323</v>
      </c>
      <c r="E482" s="2" t="s">
        <v>370</v>
      </c>
      <c r="F482" s="2" t="s">
        <v>371</v>
      </c>
    </row>
    <row r="483" customFormat="false" ht="15" hidden="false" customHeight="false" outlineLevel="0" collapsed="false">
      <c r="A483" s="2" t="s">
        <v>304</v>
      </c>
      <c r="B483" s="2" t="s">
        <v>329</v>
      </c>
      <c r="C483" s="2" t="s">
        <v>52</v>
      </c>
      <c r="D483" s="2" t="s">
        <v>319</v>
      </c>
      <c r="E483" s="2" t="s">
        <v>335</v>
      </c>
      <c r="F483" s="2" t="s">
        <v>331</v>
      </c>
    </row>
    <row r="484" customFormat="false" ht="15" hidden="false" customHeight="false" outlineLevel="0" collapsed="false">
      <c r="A484" s="2" t="s">
        <v>304</v>
      </c>
      <c r="B484" s="2" t="s">
        <v>336</v>
      </c>
      <c r="C484" s="2" t="s">
        <v>52</v>
      </c>
      <c r="D484" s="2" t="s">
        <v>319</v>
      </c>
      <c r="E484" s="2" t="s">
        <v>337</v>
      </c>
      <c r="F484" s="2" t="s">
        <v>338</v>
      </c>
    </row>
    <row r="485" customFormat="false" ht="15" hidden="false" customHeight="false" outlineLevel="0" collapsed="false">
      <c r="A485" s="2" t="s">
        <v>305</v>
      </c>
      <c r="B485" s="2" t="s">
        <v>318</v>
      </c>
      <c r="C485" s="2" t="s">
        <v>48</v>
      </c>
      <c r="D485" s="2" t="s">
        <v>319</v>
      </c>
      <c r="E485" s="2" t="s">
        <v>320</v>
      </c>
      <c r="F485" s="2" t="s">
        <v>321</v>
      </c>
    </row>
    <row r="486" customFormat="false" ht="15" hidden="false" customHeight="false" outlineLevel="0" collapsed="false">
      <c r="A486" s="2" t="s">
        <v>305</v>
      </c>
      <c r="B486" s="2" t="s">
        <v>329</v>
      </c>
      <c r="C486" s="2" t="s">
        <v>52</v>
      </c>
      <c r="D486" s="2" t="s">
        <v>319</v>
      </c>
      <c r="E486" s="2" t="s">
        <v>330</v>
      </c>
      <c r="F486" s="2" t="s">
        <v>331</v>
      </c>
    </row>
    <row r="487" customFormat="false" ht="15" hidden="false" customHeight="false" outlineLevel="0" collapsed="false">
      <c r="A487" s="2" t="s">
        <v>305</v>
      </c>
      <c r="B487" s="2" t="s">
        <v>332</v>
      </c>
      <c r="C487" s="2" t="s">
        <v>51</v>
      </c>
      <c r="D487" s="2" t="s">
        <v>319</v>
      </c>
      <c r="E487" s="2" t="s">
        <v>333</v>
      </c>
      <c r="F487" s="2" t="s">
        <v>334</v>
      </c>
    </row>
    <row r="488" customFormat="false" ht="15" hidden="false" customHeight="false" outlineLevel="0" collapsed="false">
      <c r="A488" s="2" t="s">
        <v>305</v>
      </c>
      <c r="B488" s="2" t="s">
        <v>329</v>
      </c>
      <c r="C488" s="2" t="s">
        <v>52</v>
      </c>
      <c r="D488" s="2" t="s">
        <v>319</v>
      </c>
      <c r="E488" s="2" t="s">
        <v>335</v>
      </c>
      <c r="F488" s="2" t="s">
        <v>331</v>
      </c>
    </row>
    <row r="489" customFormat="false" ht="15" hidden="false" customHeight="false" outlineLevel="0" collapsed="false">
      <c r="A489" s="2" t="s">
        <v>306</v>
      </c>
      <c r="B489" s="2" t="s">
        <v>318</v>
      </c>
      <c r="C489" s="2" t="s">
        <v>48</v>
      </c>
      <c r="D489" s="2" t="s">
        <v>319</v>
      </c>
      <c r="E489" s="2" t="s">
        <v>320</v>
      </c>
      <c r="F489" s="2" t="s">
        <v>321</v>
      </c>
    </row>
    <row r="490" customFormat="false" ht="15" hidden="false" customHeight="false" outlineLevel="0" collapsed="false">
      <c r="A490" s="2" t="s">
        <v>306</v>
      </c>
      <c r="B490" s="2" t="s">
        <v>329</v>
      </c>
      <c r="C490" s="2" t="s">
        <v>52</v>
      </c>
      <c r="D490" s="2" t="s">
        <v>319</v>
      </c>
      <c r="E490" s="2" t="s">
        <v>330</v>
      </c>
      <c r="F490" s="2" t="s">
        <v>331</v>
      </c>
    </row>
    <row r="491" customFormat="false" ht="15" hidden="false" customHeight="false" outlineLevel="0" collapsed="false">
      <c r="A491" s="2" t="s">
        <v>306</v>
      </c>
      <c r="B491" s="2" t="s">
        <v>339</v>
      </c>
      <c r="C491" s="2" t="s">
        <v>51</v>
      </c>
      <c r="D491" s="2" t="s">
        <v>319</v>
      </c>
      <c r="E491" s="2" t="s">
        <v>340</v>
      </c>
      <c r="F491" s="2" t="s">
        <v>341</v>
      </c>
    </row>
    <row r="492" customFormat="false" ht="15" hidden="false" customHeight="false" outlineLevel="0" collapsed="false">
      <c r="A492" s="2" t="s">
        <v>306</v>
      </c>
      <c r="B492" s="2" t="s">
        <v>332</v>
      </c>
      <c r="C492" s="2" t="s">
        <v>51</v>
      </c>
      <c r="D492" s="2" t="s">
        <v>319</v>
      </c>
      <c r="E492" s="2" t="s">
        <v>333</v>
      </c>
      <c r="F492" s="2" t="s">
        <v>334</v>
      </c>
    </row>
    <row r="493" customFormat="false" ht="15" hidden="false" customHeight="false" outlineLevel="0" collapsed="false">
      <c r="A493" s="2" t="s">
        <v>306</v>
      </c>
      <c r="B493" s="2" t="s">
        <v>329</v>
      </c>
      <c r="C493" s="2" t="s">
        <v>52</v>
      </c>
      <c r="D493" s="2" t="s">
        <v>319</v>
      </c>
      <c r="E493" s="2" t="s">
        <v>335</v>
      </c>
      <c r="F493" s="2" t="s">
        <v>331</v>
      </c>
    </row>
    <row r="494" customFormat="false" ht="15" hidden="false" customHeight="false" outlineLevel="0" collapsed="false">
      <c r="A494" s="2" t="s">
        <v>306</v>
      </c>
      <c r="B494" s="2" t="s">
        <v>336</v>
      </c>
      <c r="C494" s="2" t="s">
        <v>52</v>
      </c>
      <c r="D494" s="2" t="s">
        <v>319</v>
      </c>
      <c r="E494" s="2" t="s">
        <v>337</v>
      </c>
      <c r="F494" s="2" t="s">
        <v>338</v>
      </c>
    </row>
    <row r="495" customFormat="false" ht="15" hidden="false" customHeight="false" outlineLevel="0" collapsed="false">
      <c r="A495" s="2" t="s">
        <v>307</v>
      </c>
      <c r="B495" s="2" t="s">
        <v>318</v>
      </c>
      <c r="C495" s="2" t="s">
        <v>48</v>
      </c>
      <c r="D495" s="2" t="s">
        <v>319</v>
      </c>
      <c r="E495" s="2" t="s">
        <v>320</v>
      </c>
      <c r="F495" s="2" t="s">
        <v>321</v>
      </c>
    </row>
    <row r="496" customFormat="false" ht="15" hidden="false" customHeight="false" outlineLevel="0" collapsed="false">
      <c r="A496" s="2" t="s">
        <v>307</v>
      </c>
      <c r="B496" s="2" t="s">
        <v>329</v>
      </c>
      <c r="C496" s="2" t="s">
        <v>52</v>
      </c>
      <c r="D496" s="2" t="s">
        <v>319</v>
      </c>
      <c r="E496" s="2" t="s">
        <v>330</v>
      </c>
      <c r="F496" s="2" t="s">
        <v>331</v>
      </c>
    </row>
    <row r="497" customFormat="false" ht="15" hidden="false" customHeight="false" outlineLevel="0" collapsed="false">
      <c r="A497" s="2" t="s">
        <v>307</v>
      </c>
      <c r="B497" s="2" t="s">
        <v>339</v>
      </c>
      <c r="C497" s="2" t="s">
        <v>51</v>
      </c>
      <c r="D497" s="2" t="s">
        <v>319</v>
      </c>
      <c r="E497" s="2" t="s">
        <v>340</v>
      </c>
      <c r="F497" s="2" t="s">
        <v>341</v>
      </c>
    </row>
    <row r="498" customFormat="false" ht="15" hidden="false" customHeight="false" outlineLevel="0" collapsed="false">
      <c r="A498" s="2" t="s">
        <v>307</v>
      </c>
      <c r="B498" s="2" t="s">
        <v>332</v>
      </c>
      <c r="C498" s="2" t="s">
        <v>51</v>
      </c>
      <c r="D498" s="2" t="s">
        <v>319</v>
      </c>
      <c r="E498" s="2" t="s">
        <v>333</v>
      </c>
      <c r="F498" s="2" t="s">
        <v>334</v>
      </c>
    </row>
    <row r="499" customFormat="false" ht="15" hidden="false" customHeight="false" outlineLevel="0" collapsed="false">
      <c r="A499" s="2" t="s">
        <v>307</v>
      </c>
      <c r="B499" s="2" t="s">
        <v>329</v>
      </c>
      <c r="C499" s="2" t="s">
        <v>52</v>
      </c>
      <c r="D499" s="2" t="s">
        <v>319</v>
      </c>
      <c r="E499" s="2" t="s">
        <v>335</v>
      </c>
      <c r="F499" s="2" t="s">
        <v>331</v>
      </c>
    </row>
    <row r="500" customFormat="false" ht="15" hidden="false" customHeight="false" outlineLevel="0" collapsed="false">
      <c r="A500" s="2" t="s">
        <v>308</v>
      </c>
      <c r="B500" s="2" t="s">
        <v>318</v>
      </c>
      <c r="C500" s="2" t="s">
        <v>48</v>
      </c>
      <c r="D500" s="2" t="s">
        <v>319</v>
      </c>
      <c r="E500" s="2" t="s">
        <v>320</v>
      </c>
      <c r="F500" s="2" t="s">
        <v>321</v>
      </c>
    </row>
    <row r="501" customFormat="false" ht="15" hidden="false" customHeight="false" outlineLevel="0" collapsed="false">
      <c r="A501" s="2" t="s">
        <v>308</v>
      </c>
      <c r="B501" s="2" t="s">
        <v>322</v>
      </c>
      <c r="C501" s="2" t="s">
        <v>51</v>
      </c>
      <c r="D501" s="2" t="s">
        <v>323</v>
      </c>
      <c r="E501" s="2" t="s">
        <v>324</v>
      </c>
      <c r="F501" s="2" t="s">
        <v>325</v>
      </c>
    </row>
    <row r="502" customFormat="false" ht="15" hidden="false" customHeight="false" outlineLevel="0" collapsed="false">
      <c r="A502" s="2" t="s">
        <v>308</v>
      </c>
      <c r="B502" s="2" t="s">
        <v>409</v>
      </c>
      <c r="C502" s="2" t="s">
        <v>51</v>
      </c>
      <c r="D502" s="2" t="s">
        <v>323</v>
      </c>
      <c r="E502" s="2" t="s">
        <v>412</v>
      </c>
      <c r="F502" s="2" t="s">
        <v>423</v>
      </c>
    </row>
    <row r="503" customFormat="false" ht="15" hidden="false" customHeight="false" outlineLevel="0" collapsed="false">
      <c r="A503" s="2" t="s">
        <v>308</v>
      </c>
      <c r="B503" s="2" t="s">
        <v>332</v>
      </c>
      <c r="C503" s="2" t="s">
        <v>51</v>
      </c>
      <c r="D503" s="2" t="s">
        <v>319</v>
      </c>
      <c r="E503" s="2" t="s">
        <v>333</v>
      </c>
      <c r="F503" s="2" t="s">
        <v>334</v>
      </c>
    </row>
    <row r="504" customFormat="false" ht="15" hidden="false" customHeight="false" outlineLevel="0" collapsed="false">
      <c r="A504" s="2" t="s">
        <v>308</v>
      </c>
      <c r="B504" s="2" t="s">
        <v>329</v>
      </c>
      <c r="C504" s="2" t="s">
        <v>52</v>
      </c>
      <c r="D504" s="2" t="s">
        <v>319</v>
      </c>
      <c r="E504" s="2" t="s">
        <v>335</v>
      </c>
      <c r="F504" s="2" t="s">
        <v>331</v>
      </c>
    </row>
    <row r="505" customFormat="false" ht="15" hidden="false" customHeight="false" outlineLevel="0" collapsed="false">
      <c r="A505" s="2" t="s">
        <v>309</v>
      </c>
      <c r="B505" s="2" t="s">
        <v>318</v>
      </c>
      <c r="C505" s="2" t="s">
        <v>48</v>
      </c>
      <c r="D505" s="2" t="s">
        <v>319</v>
      </c>
      <c r="E505" s="2" t="s">
        <v>320</v>
      </c>
      <c r="F505" s="2" t="s">
        <v>321</v>
      </c>
    </row>
    <row r="506" customFormat="false" ht="15" hidden="false" customHeight="false" outlineLevel="0" collapsed="false">
      <c r="A506" s="2" t="s">
        <v>309</v>
      </c>
      <c r="B506" s="2" t="s">
        <v>329</v>
      </c>
      <c r="C506" s="2" t="s">
        <v>52</v>
      </c>
      <c r="D506" s="2" t="s">
        <v>319</v>
      </c>
      <c r="E506" s="2" t="s">
        <v>330</v>
      </c>
      <c r="F506" s="2" t="s">
        <v>331</v>
      </c>
    </row>
    <row r="507" customFormat="false" ht="15" hidden="false" customHeight="false" outlineLevel="0" collapsed="false">
      <c r="A507" s="2" t="s">
        <v>309</v>
      </c>
      <c r="B507" s="2" t="s">
        <v>339</v>
      </c>
      <c r="C507" s="2" t="s">
        <v>51</v>
      </c>
      <c r="D507" s="2" t="s">
        <v>319</v>
      </c>
      <c r="E507" s="2" t="s">
        <v>340</v>
      </c>
      <c r="F507" s="2" t="s">
        <v>341</v>
      </c>
    </row>
    <row r="508" customFormat="false" ht="15" hidden="false" customHeight="false" outlineLevel="0" collapsed="false">
      <c r="A508" s="2" t="s">
        <v>309</v>
      </c>
      <c r="B508" s="2" t="s">
        <v>332</v>
      </c>
      <c r="C508" s="2" t="s">
        <v>51</v>
      </c>
      <c r="D508" s="2" t="s">
        <v>319</v>
      </c>
      <c r="E508" s="2" t="s">
        <v>333</v>
      </c>
      <c r="F508" s="2" t="s">
        <v>334</v>
      </c>
    </row>
    <row r="509" customFormat="false" ht="15" hidden="false" customHeight="false" outlineLevel="0" collapsed="false">
      <c r="A509" s="2" t="s">
        <v>309</v>
      </c>
      <c r="B509" s="2" t="s">
        <v>329</v>
      </c>
      <c r="C509" s="2" t="s">
        <v>52</v>
      </c>
      <c r="D509" s="2" t="s">
        <v>319</v>
      </c>
      <c r="E509" s="2" t="s">
        <v>335</v>
      </c>
      <c r="F509" s="2" t="s">
        <v>331</v>
      </c>
    </row>
  </sheetData>
  <autoFilter ref="A1:F5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9" min="7" style="0" width="10"/>
  </cols>
  <sheetData>
    <row r="1" customFormat="false" ht="23.85" hidden="false" customHeight="false" outlineLevel="0" collapsed="false">
      <c r="A1" s="8" t="s">
        <v>155</v>
      </c>
      <c r="B1" s="8" t="s">
        <v>159</v>
      </c>
      <c r="C1" s="8" t="s">
        <v>424</v>
      </c>
      <c r="D1" s="8" t="s">
        <v>425</v>
      </c>
      <c r="F1" s="8" t="s">
        <v>426</v>
      </c>
      <c r="G1" s="8" t="s">
        <v>427</v>
      </c>
      <c r="H1" s="8" t="s">
        <v>428</v>
      </c>
      <c r="I1" s="8" t="s">
        <v>429</v>
      </c>
    </row>
    <row r="2" customFormat="false" ht="15" hidden="false" customHeight="false" outlineLevel="0" collapsed="false">
      <c r="A2" s="2" t="s">
        <v>172</v>
      </c>
      <c r="B2" s="2" t="s">
        <v>175</v>
      </c>
      <c r="C2" s="2" t="s">
        <v>314</v>
      </c>
      <c r="D2" s="2" t="n">
        <f aca="false">IF(COUNTIFS(Findings!$A$2:$A$509,A2,Findings!$B$2:$B$509,C2)&gt;0,1,0)</f>
        <v>1</v>
      </c>
      <c r="F2" s="4" t="s">
        <v>207</v>
      </c>
      <c r="G2" s="4" t="n">
        <f aca="false">COUNTIF($B$2:$B$47,F2)</f>
        <v>4</v>
      </c>
      <c r="H2" s="4" t="n">
        <f aca="false">SUMIF($B$2:$B$47,F2,$D$2:$D$47)</f>
        <v>4</v>
      </c>
      <c r="I2" s="9" t="n">
        <f aca="false">IF(G2=0,0,H2/G2)</f>
        <v>1</v>
      </c>
    </row>
    <row r="3" customFormat="false" ht="15" hidden="false" customHeight="false" outlineLevel="0" collapsed="false">
      <c r="A3" s="2" t="s">
        <v>185</v>
      </c>
      <c r="B3" s="2" t="s">
        <v>186</v>
      </c>
      <c r="C3" s="2" t="s">
        <v>343</v>
      </c>
      <c r="D3" s="2" t="n">
        <f aca="false">IF(COUNTIFS(Findings!$A$2:$A$509,A3,Findings!$B$2:$B$509,C3)&gt;0,1,0)</f>
        <v>1</v>
      </c>
      <c r="F3" s="4" t="s">
        <v>250</v>
      </c>
      <c r="G3" s="4" t="n">
        <f aca="false">COUNTIF($B$2:$B$47,F3)</f>
        <v>2</v>
      </c>
      <c r="H3" s="4" t="n">
        <f aca="false">SUMIF($B$2:$B$47,F3,$D$2:$D$47)</f>
        <v>2</v>
      </c>
      <c r="I3" s="9" t="n">
        <f aca="false">IF(G3=0,0,H3/G3)</f>
        <v>1</v>
      </c>
    </row>
    <row r="4" customFormat="false" ht="15" hidden="false" customHeight="false" outlineLevel="0" collapsed="false">
      <c r="A4" s="2" t="s">
        <v>192</v>
      </c>
      <c r="B4" s="2" t="s">
        <v>195</v>
      </c>
      <c r="C4" s="2" t="s">
        <v>347</v>
      </c>
      <c r="D4" s="2" t="n">
        <f aca="false">IF(COUNTIFS(Findings!$A$2:$A$509,A4,Findings!$B$2:$B$509,C4)&gt;0,1,0)</f>
        <v>1</v>
      </c>
      <c r="F4" s="4" t="s">
        <v>186</v>
      </c>
      <c r="G4" s="4" t="n">
        <f aca="false">COUNTIF($B$2:$B$47,F4)</f>
        <v>4</v>
      </c>
      <c r="H4" s="4" t="n">
        <f aca="false">SUMIF($B$2:$B$47,F4,$D$2:$D$47)</f>
        <v>4</v>
      </c>
      <c r="I4" s="9" t="n">
        <f aca="false">IF(G4=0,0,H4/G4)</f>
        <v>1</v>
      </c>
    </row>
    <row r="5" customFormat="false" ht="15" hidden="false" customHeight="false" outlineLevel="0" collapsed="false">
      <c r="A5" s="2" t="s">
        <v>196</v>
      </c>
      <c r="B5" s="2" t="s">
        <v>197</v>
      </c>
      <c r="C5" s="2" t="s">
        <v>350</v>
      </c>
      <c r="D5" s="2" t="n">
        <f aca="false">IF(COUNTIFS(Findings!$A$2:$A$509,A5,Findings!$B$2:$B$509,C5)&gt;0,1,0)</f>
        <v>1</v>
      </c>
      <c r="F5" s="4" t="s">
        <v>197</v>
      </c>
      <c r="G5" s="4" t="n">
        <f aca="false">COUNTIF($B$2:$B$47,F5)</f>
        <v>5</v>
      </c>
      <c r="H5" s="4" t="n">
        <f aca="false">SUMIF($B$2:$B$47,F5,$D$2:$D$47)</f>
        <v>5</v>
      </c>
      <c r="I5" s="9" t="n">
        <f aca="false">IF(G5=0,0,H5/G5)</f>
        <v>1</v>
      </c>
    </row>
    <row r="6" customFormat="false" ht="15" hidden="false" customHeight="false" outlineLevel="0" collapsed="false">
      <c r="A6" s="2" t="s">
        <v>201</v>
      </c>
      <c r="B6" s="2" t="s">
        <v>202</v>
      </c>
      <c r="C6" s="2" t="s">
        <v>354</v>
      </c>
      <c r="D6" s="2" t="n">
        <f aca="false">IF(COUNTIFS(Findings!$A$2:$A$509,A6,Findings!$B$2:$B$509,C6)&gt;0,1,0)</f>
        <v>1</v>
      </c>
      <c r="F6" s="4" t="s">
        <v>277</v>
      </c>
      <c r="G6" s="4" t="n">
        <f aca="false">COUNTIF($B$2:$B$47,F6)</f>
        <v>3</v>
      </c>
      <c r="H6" s="4" t="n">
        <f aca="false">SUMIF($B$2:$B$47,F6,$D$2:$D$47)</f>
        <v>3</v>
      </c>
      <c r="I6" s="9" t="n">
        <f aca="false">IF(G6=0,0,H6/G6)</f>
        <v>1</v>
      </c>
    </row>
    <row r="7" customFormat="false" ht="15" hidden="false" customHeight="false" outlineLevel="0" collapsed="false">
      <c r="A7" s="2" t="s">
        <v>203</v>
      </c>
      <c r="B7" s="2" t="s">
        <v>204</v>
      </c>
      <c r="C7" s="2" t="s">
        <v>357</v>
      </c>
      <c r="D7" s="2" t="n">
        <f aca="false">IF(COUNTIFS(Findings!$A$2:$A$509,A7,Findings!$B$2:$B$509,C7)&gt;0,1,0)</f>
        <v>1</v>
      </c>
      <c r="F7" s="4" t="s">
        <v>222</v>
      </c>
      <c r="G7" s="4" t="n">
        <f aca="false">COUNTIF($B$2:$B$47,F7)</f>
        <v>3</v>
      </c>
      <c r="H7" s="4" t="n">
        <f aca="false">SUMIF($B$2:$B$47,F7,$D$2:$D$47)</f>
        <v>3</v>
      </c>
      <c r="I7" s="9" t="n">
        <f aca="false">IF(G7=0,0,H7/G7)</f>
        <v>1</v>
      </c>
    </row>
    <row r="8" customFormat="false" ht="15" hidden="false" customHeight="false" outlineLevel="0" collapsed="false">
      <c r="A8" s="2" t="s">
        <v>205</v>
      </c>
      <c r="B8" s="2" t="s">
        <v>207</v>
      </c>
      <c r="C8" s="2" t="s">
        <v>360</v>
      </c>
      <c r="D8" s="2" t="n">
        <f aca="false">IF(COUNTIFS(Findings!$A$2:$A$509,A8,Findings!$B$2:$B$509,C8)&gt;0,1,0)</f>
        <v>1</v>
      </c>
      <c r="F8" s="4" t="s">
        <v>224</v>
      </c>
      <c r="G8" s="4" t="n">
        <f aca="false">COUNTIF($B$2:$B$47,F8)</f>
        <v>3</v>
      </c>
      <c r="H8" s="4" t="n">
        <f aca="false">SUMIF($B$2:$B$47,F8,$D$2:$D$47)</f>
        <v>3</v>
      </c>
      <c r="I8" s="9" t="n">
        <f aca="false">IF(G8=0,0,H8/G8)</f>
        <v>1</v>
      </c>
    </row>
    <row r="9" customFormat="false" ht="15" hidden="false" customHeight="false" outlineLevel="0" collapsed="false">
      <c r="A9" s="2" t="s">
        <v>212</v>
      </c>
      <c r="B9" s="2" t="s">
        <v>213</v>
      </c>
      <c r="C9" s="2" t="s">
        <v>364</v>
      </c>
      <c r="D9" s="2" t="n">
        <f aca="false">IF(COUNTIFS(Findings!$A$2:$A$509,A9,Findings!$B$2:$B$509,C9)&gt;0,1,0)</f>
        <v>1</v>
      </c>
      <c r="F9" s="4" t="s">
        <v>175</v>
      </c>
      <c r="G9" s="4" t="n">
        <f aca="false">COUNTIF($B$2:$B$47,F9)</f>
        <v>2</v>
      </c>
      <c r="H9" s="4" t="n">
        <f aca="false">SUMIF($B$2:$B$47,F9,$D$2:$D$47)</f>
        <v>2</v>
      </c>
      <c r="I9" s="9" t="n">
        <f aca="false">IF(G9=0,0,H9/G9)</f>
        <v>1</v>
      </c>
    </row>
    <row r="10" customFormat="false" ht="15" hidden="false" customHeight="false" outlineLevel="0" collapsed="false">
      <c r="A10" s="2" t="s">
        <v>216</v>
      </c>
      <c r="B10" s="2" t="s">
        <v>217</v>
      </c>
      <c r="C10" s="2" t="s">
        <v>366</v>
      </c>
      <c r="D10" s="2" t="n">
        <f aca="false">IF(COUNTIFS(Findings!$A$2:$A$509,A10,Findings!$B$2:$B$509,C10)&gt;0,1,0)</f>
        <v>1</v>
      </c>
      <c r="F10" s="4" t="s">
        <v>235</v>
      </c>
      <c r="G10" s="4" t="n">
        <f aca="false">COUNTIF($B$2:$B$47,F10)</f>
        <v>2</v>
      </c>
      <c r="H10" s="4" t="n">
        <f aca="false">SUMIF($B$2:$B$47,F10,$D$2:$D$47)</f>
        <v>2</v>
      </c>
      <c r="I10" s="9" t="n">
        <f aca="false">IF(G10=0,0,H10/G10)</f>
        <v>1</v>
      </c>
    </row>
    <row r="11" customFormat="false" ht="15" hidden="false" customHeight="false" outlineLevel="0" collapsed="false">
      <c r="A11" s="2" t="s">
        <v>221</v>
      </c>
      <c r="B11" s="2" t="s">
        <v>222</v>
      </c>
      <c r="C11" s="2" t="s">
        <v>369</v>
      </c>
      <c r="D11" s="2" t="n">
        <f aca="false">IF(COUNTIFS(Findings!$A$2:$A$509,A11,Findings!$B$2:$B$509,C11)&gt;0,1,0)</f>
        <v>1</v>
      </c>
      <c r="F11" s="4" t="s">
        <v>202</v>
      </c>
      <c r="G11" s="4" t="n">
        <f aca="false">COUNTIF($B$2:$B$47,F11)</f>
        <v>2</v>
      </c>
      <c r="H11" s="4" t="n">
        <f aca="false">SUMIF($B$2:$B$47,F11,$D$2:$D$47)</f>
        <v>2</v>
      </c>
      <c r="I11" s="9" t="n">
        <f aca="false">IF(G11=0,0,H11/G11)</f>
        <v>1</v>
      </c>
    </row>
    <row r="12" customFormat="false" ht="15" hidden="false" customHeight="false" outlineLevel="0" collapsed="false">
      <c r="A12" s="2" t="s">
        <v>223</v>
      </c>
      <c r="B12" s="2" t="s">
        <v>224</v>
      </c>
      <c r="C12" s="2" t="s">
        <v>372</v>
      </c>
      <c r="D12" s="2" t="n">
        <f aca="false">IF(COUNTIFS(Findings!$A$2:$A$509,A12,Findings!$B$2:$B$509,C12)&gt;0,1,0)</f>
        <v>1</v>
      </c>
      <c r="F12" s="4" t="s">
        <v>265</v>
      </c>
      <c r="G12" s="4" t="n">
        <f aca="false">COUNTIF($B$2:$B$47,F12)</f>
        <v>2</v>
      </c>
      <c r="H12" s="4" t="n">
        <f aca="false">SUMIF($B$2:$B$47,F12,$D$2:$D$47)</f>
        <v>2</v>
      </c>
      <c r="I12" s="9" t="n">
        <f aca="false">IF(G12=0,0,H12/G12)</f>
        <v>1</v>
      </c>
    </row>
    <row r="13" customFormat="false" ht="15" hidden="false" customHeight="false" outlineLevel="0" collapsed="false">
      <c r="A13" s="2" t="s">
        <v>227</v>
      </c>
      <c r="B13" s="2" t="s">
        <v>197</v>
      </c>
      <c r="C13" s="2" t="s">
        <v>350</v>
      </c>
      <c r="D13" s="2" t="n">
        <f aca="false">IF(COUNTIFS(Findings!$A$2:$A$509,A13,Findings!$B$2:$B$509,C13)&gt;0,1,0)</f>
        <v>1</v>
      </c>
      <c r="F13" s="4" t="s">
        <v>217</v>
      </c>
      <c r="G13" s="4" t="n">
        <f aca="false">COUNTIF($B$2:$B$47,F13)</f>
        <v>2</v>
      </c>
      <c r="H13" s="4" t="n">
        <f aca="false">SUMIF($B$2:$B$47,F13,$D$2:$D$47)</f>
        <v>2</v>
      </c>
      <c r="I13" s="9" t="n">
        <f aca="false">IF(G13=0,0,H13/G13)</f>
        <v>1</v>
      </c>
    </row>
    <row r="14" customFormat="false" ht="15" hidden="false" customHeight="false" outlineLevel="0" collapsed="false">
      <c r="A14" s="2" t="s">
        <v>229</v>
      </c>
      <c r="B14" s="2" t="s">
        <v>204</v>
      </c>
      <c r="C14" s="2" t="s">
        <v>357</v>
      </c>
      <c r="D14" s="2" t="n">
        <f aca="false">IF(COUNTIFS(Findings!$A$2:$A$509,A14,Findings!$B$2:$B$509,C14)&gt;0,1,0)</f>
        <v>1</v>
      </c>
      <c r="F14" s="4" t="s">
        <v>195</v>
      </c>
      <c r="G14" s="4" t="n">
        <f aca="false">COUNTIF($B$2:$B$47,F14)</f>
        <v>2</v>
      </c>
      <c r="H14" s="4" t="n">
        <f aca="false">SUMIF($B$2:$B$47,F14,$D$2:$D$47)</f>
        <v>2</v>
      </c>
      <c r="I14" s="9" t="n">
        <f aca="false">IF(G14=0,0,H14/G14)</f>
        <v>1</v>
      </c>
    </row>
    <row r="15" customFormat="false" ht="15" hidden="false" customHeight="false" outlineLevel="0" collapsed="false">
      <c r="A15" s="2" t="s">
        <v>233</v>
      </c>
      <c r="B15" s="2" t="s">
        <v>235</v>
      </c>
      <c r="C15" s="2" t="s">
        <v>378</v>
      </c>
      <c r="D15" s="2" t="n">
        <f aca="false">IF(COUNTIFS(Findings!$A$2:$A$509,A15,Findings!$B$2:$B$509,C15)&gt;0,1,0)</f>
        <v>1</v>
      </c>
      <c r="F15" s="4" t="s">
        <v>238</v>
      </c>
      <c r="G15" s="4" t="n">
        <f aca="false">COUNTIF($B$2:$B$47,F15)</f>
        <v>2</v>
      </c>
      <c r="H15" s="4" t="n">
        <f aca="false">SUMIF($B$2:$B$47,F15,$D$2:$D$47)</f>
        <v>2</v>
      </c>
      <c r="I15" s="9" t="n">
        <f aca="false">IF(G15=0,0,H15/G15)</f>
        <v>1</v>
      </c>
    </row>
    <row r="16" customFormat="false" ht="15" hidden="false" customHeight="false" outlineLevel="0" collapsed="false">
      <c r="A16" s="2" t="s">
        <v>237</v>
      </c>
      <c r="B16" s="2" t="s">
        <v>238</v>
      </c>
      <c r="C16" s="2" t="s">
        <v>381</v>
      </c>
      <c r="D16" s="2" t="n">
        <f aca="false">IF(COUNTIFS(Findings!$A$2:$A$509,A16,Findings!$B$2:$B$509,C16)&gt;0,1,0)</f>
        <v>1</v>
      </c>
      <c r="F16" s="4" t="s">
        <v>213</v>
      </c>
      <c r="G16" s="4" t="n">
        <f aca="false">COUNTIF($B$2:$B$47,F16)</f>
        <v>2</v>
      </c>
      <c r="H16" s="4" t="n">
        <f aca="false">SUMIF($B$2:$B$47,F16,$D$2:$D$47)</f>
        <v>2</v>
      </c>
      <c r="I16" s="9" t="n">
        <f aca="false">IF(G16=0,0,H16/G16)</f>
        <v>1</v>
      </c>
    </row>
    <row r="17" customFormat="false" ht="15" hidden="false" customHeight="false" outlineLevel="0" collapsed="false">
      <c r="A17" s="2" t="s">
        <v>239</v>
      </c>
      <c r="B17" s="2" t="s">
        <v>186</v>
      </c>
      <c r="C17" s="2" t="s">
        <v>386</v>
      </c>
      <c r="D17" s="2" t="n">
        <f aca="false">IF(COUNTIFS(Findings!$A$2:$A$509,A17,Findings!$B$2:$B$509,C17)&gt;0,1,0)</f>
        <v>1</v>
      </c>
      <c r="F17" s="4" t="s">
        <v>260</v>
      </c>
      <c r="G17" s="4" t="n">
        <f aca="false">COUNTIF($B$2:$B$47,F17)</f>
        <v>2</v>
      </c>
      <c r="H17" s="4" t="n">
        <f aca="false">SUMIF($B$2:$B$47,F17,$D$2:$D$47)</f>
        <v>2</v>
      </c>
      <c r="I17" s="9" t="n">
        <f aca="false">IF(G17=0,0,H17/G17)</f>
        <v>1</v>
      </c>
    </row>
    <row r="18" customFormat="false" ht="15" hidden="false" customHeight="false" outlineLevel="0" collapsed="false">
      <c r="A18" s="2" t="s">
        <v>243</v>
      </c>
      <c r="B18" s="2" t="s">
        <v>222</v>
      </c>
      <c r="C18" s="2" t="s">
        <v>369</v>
      </c>
      <c r="D18" s="2" t="n">
        <f aca="false">IF(COUNTIFS(Findings!$A$2:$A$509,A18,Findings!$B$2:$B$509,C18)&gt;0,1,0)</f>
        <v>1</v>
      </c>
      <c r="F18" s="4" t="s">
        <v>204</v>
      </c>
      <c r="G18" s="4" t="n">
        <f aca="false">COUNTIF($B$2:$B$47,F18)</f>
        <v>4</v>
      </c>
      <c r="H18" s="4" t="n">
        <f aca="false">SUMIF($B$2:$B$47,F18,$D$2:$D$47)</f>
        <v>4</v>
      </c>
      <c r="I18" s="9" t="n">
        <f aca="false">IF(G18=0,0,H18/G18)</f>
        <v>1</v>
      </c>
    </row>
    <row r="19" customFormat="false" ht="15" hidden="false" customHeight="false" outlineLevel="0" collapsed="false">
      <c r="A19" s="2" t="s">
        <v>244</v>
      </c>
      <c r="B19" s="2" t="s">
        <v>207</v>
      </c>
      <c r="C19" s="2" t="s">
        <v>360</v>
      </c>
      <c r="D19" s="2" t="n">
        <f aca="false">IF(COUNTIFS(Findings!$A$2:$A$509,A19,Findings!$B$2:$B$509,C19)&gt;0,1,0)</f>
        <v>1</v>
      </c>
      <c r="F19" s="23" t="s">
        <v>430</v>
      </c>
      <c r="G19" s="23" t="n">
        <f aca="false">SUM(G2:G18)</f>
        <v>46</v>
      </c>
      <c r="H19" s="23" t="n">
        <f aca="false">SUM(H2:H18)</f>
        <v>46</v>
      </c>
      <c r="I19" s="28" t="n">
        <f aca="false">IF(G19=0,0,H19/G19)</f>
        <v>1</v>
      </c>
    </row>
    <row r="20" customFormat="false" ht="15" hidden="false" customHeight="false" outlineLevel="0" collapsed="false">
      <c r="A20" s="2" t="s">
        <v>248</v>
      </c>
      <c r="B20" s="2" t="s">
        <v>238</v>
      </c>
      <c r="C20" s="2" t="s">
        <v>381</v>
      </c>
      <c r="D20" s="2" t="n">
        <f aca="false">IF(COUNTIFS(Findings!$A$2:$A$509,A20,Findings!$B$2:$B$509,C20)&gt;0,1,0)</f>
        <v>1</v>
      </c>
    </row>
    <row r="21" customFormat="false" ht="15" hidden="false" customHeight="false" outlineLevel="0" collapsed="false">
      <c r="A21" s="2" t="s">
        <v>249</v>
      </c>
      <c r="B21" s="2" t="s">
        <v>250</v>
      </c>
      <c r="C21" s="2" t="s">
        <v>394</v>
      </c>
      <c r="D21" s="2" t="n">
        <f aca="false">IF(COUNTIFS(Findings!$A$2:$A$509,A21,Findings!$B$2:$B$509,C21)&gt;0,1,0)</f>
        <v>1</v>
      </c>
    </row>
    <row r="22" customFormat="false" ht="15" hidden="false" customHeight="false" outlineLevel="0" collapsed="false">
      <c r="A22" s="2" t="s">
        <v>254</v>
      </c>
      <c r="B22" s="2" t="s">
        <v>217</v>
      </c>
      <c r="C22" s="2" t="s">
        <v>366</v>
      </c>
      <c r="D22" s="2" t="n">
        <f aca="false">IF(COUNTIFS(Findings!$A$2:$A$509,A22,Findings!$B$2:$B$509,C22)&gt;0,1,0)</f>
        <v>1</v>
      </c>
    </row>
    <row r="23" customFormat="false" ht="15" hidden="false" customHeight="false" outlineLevel="0" collapsed="false">
      <c r="A23" s="2" t="s">
        <v>258</v>
      </c>
      <c r="B23" s="2" t="s">
        <v>207</v>
      </c>
      <c r="C23" s="2" t="s">
        <v>360</v>
      </c>
      <c r="D23" s="2" t="n">
        <f aca="false">IF(COUNTIFS(Findings!$A$2:$A$509,A23,Findings!$B$2:$B$509,C23)&gt;0,1,0)</f>
        <v>1</v>
      </c>
    </row>
    <row r="24" customFormat="false" ht="15" hidden="false" customHeight="false" outlineLevel="0" collapsed="false">
      <c r="A24" s="2" t="s">
        <v>259</v>
      </c>
      <c r="B24" s="2" t="s">
        <v>260</v>
      </c>
      <c r="C24" s="2" t="s">
        <v>401</v>
      </c>
      <c r="D24" s="2" t="n">
        <f aca="false">IF(COUNTIFS(Findings!$A$2:$A$509,A24,Findings!$B$2:$B$509,C24)&gt;0,1,0)</f>
        <v>1</v>
      </c>
    </row>
    <row r="25" customFormat="false" ht="15" hidden="false" customHeight="false" outlineLevel="0" collapsed="false">
      <c r="A25" s="2" t="s">
        <v>262</v>
      </c>
      <c r="B25" s="2" t="s">
        <v>235</v>
      </c>
      <c r="C25" s="2" t="s">
        <v>378</v>
      </c>
      <c r="D25" s="2" t="n">
        <f aca="false">IF(COUNTIFS(Findings!$A$2:$A$509,A25,Findings!$B$2:$B$509,C25)&gt;0,1,0)</f>
        <v>1</v>
      </c>
    </row>
    <row r="26" customFormat="false" ht="15" hidden="false" customHeight="false" outlineLevel="0" collapsed="false">
      <c r="A26" s="2" t="s">
        <v>264</v>
      </c>
      <c r="B26" s="2" t="s">
        <v>265</v>
      </c>
      <c r="C26" s="2" t="s">
        <v>404</v>
      </c>
      <c r="D26" s="2" t="n">
        <f aca="false">IF(COUNTIFS(Findings!$A$2:$A$509,A26,Findings!$B$2:$B$509,C26)&gt;0,1,0)</f>
        <v>1</v>
      </c>
    </row>
    <row r="27" customFormat="false" ht="15" hidden="false" customHeight="false" outlineLevel="0" collapsed="false">
      <c r="A27" s="2" t="s">
        <v>266</v>
      </c>
      <c r="B27" s="2" t="s">
        <v>204</v>
      </c>
      <c r="C27" s="2" t="s">
        <v>357</v>
      </c>
      <c r="D27" s="2" t="n">
        <f aca="false">IF(COUNTIFS(Findings!$A$2:$A$509,A27,Findings!$B$2:$B$509,C27)&gt;0,1,0)</f>
        <v>1</v>
      </c>
    </row>
    <row r="28" customFormat="false" ht="15" hidden="false" customHeight="false" outlineLevel="0" collapsed="false">
      <c r="A28" s="2" t="s">
        <v>267</v>
      </c>
      <c r="B28" s="2" t="s">
        <v>224</v>
      </c>
      <c r="C28" s="2" t="s">
        <v>372</v>
      </c>
      <c r="D28" s="2" t="n">
        <f aca="false">IF(COUNTIFS(Findings!$A$2:$A$509,A28,Findings!$B$2:$B$509,C28)&gt;0,1,0)</f>
        <v>1</v>
      </c>
    </row>
    <row r="29" customFormat="false" ht="15" hidden="false" customHeight="false" outlineLevel="0" collapsed="false">
      <c r="A29" s="2" t="s">
        <v>269</v>
      </c>
      <c r="B29" s="2" t="s">
        <v>195</v>
      </c>
      <c r="C29" s="2" t="s">
        <v>347</v>
      </c>
      <c r="D29" s="2" t="n">
        <f aca="false">IF(COUNTIFS(Findings!$A$2:$A$509,A29,Findings!$B$2:$B$509,C29)&gt;0,1,0)</f>
        <v>1</v>
      </c>
    </row>
    <row r="30" customFormat="false" ht="15" hidden="false" customHeight="false" outlineLevel="0" collapsed="false">
      <c r="A30" s="2" t="s">
        <v>271</v>
      </c>
      <c r="B30" s="2" t="s">
        <v>265</v>
      </c>
      <c r="C30" s="2" t="s">
        <v>404</v>
      </c>
      <c r="D30" s="2" t="n">
        <f aca="false">IF(COUNTIFS(Findings!$A$2:$A$509,A30,Findings!$B$2:$B$509,C30)&gt;0,1,0)</f>
        <v>1</v>
      </c>
    </row>
    <row r="31" customFormat="false" ht="15" hidden="false" customHeight="false" outlineLevel="0" collapsed="false">
      <c r="A31" s="2" t="s">
        <v>274</v>
      </c>
      <c r="B31" s="2" t="s">
        <v>204</v>
      </c>
      <c r="C31" s="2" t="s">
        <v>357</v>
      </c>
      <c r="D31" s="2" t="n">
        <f aca="false">IF(COUNTIFS(Findings!$A$2:$A$509,A31,Findings!$B$2:$B$509,C31)&gt;0,1,0)</f>
        <v>1</v>
      </c>
    </row>
    <row r="32" customFormat="false" ht="15" hidden="false" customHeight="false" outlineLevel="0" collapsed="false">
      <c r="A32" s="2" t="s">
        <v>275</v>
      </c>
      <c r="B32" s="2" t="s">
        <v>186</v>
      </c>
      <c r="C32" s="2" t="s">
        <v>343</v>
      </c>
      <c r="D32" s="2" t="n">
        <f aca="false">IF(COUNTIFS(Findings!$A$2:$A$509,A32,Findings!$B$2:$B$509,C32)&gt;0,1,0)</f>
        <v>1</v>
      </c>
    </row>
    <row r="33" customFormat="false" ht="15" hidden="false" customHeight="false" outlineLevel="0" collapsed="false">
      <c r="A33" s="2" t="s">
        <v>276</v>
      </c>
      <c r="B33" s="2" t="s">
        <v>277</v>
      </c>
      <c r="C33" s="2" t="s">
        <v>409</v>
      </c>
      <c r="D33" s="2" t="n">
        <f aca="false">IF(COUNTIFS(Findings!$A$2:$A$509,A33,Findings!$B$2:$B$509,C33)&gt;0,1,0)</f>
        <v>1</v>
      </c>
    </row>
    <row r="34" customFormat="false" ht="15" hidden="false" customHeight="false" outlineLevel="0" collapsed="false">
      <c r="A34" s="2" t="s">
        <v>280</v>
      </c>
      <c r="B34" s="2" t="s">
        <v>224</v>
      </c>
      <c r="C34" s="2" t="s">
        <v>372</v>
      </c>
      <c r="D34" s="2" t="n">
        <f aca="false">IF(COUNTIFS(Findings!$A$2:$A$509,A34,Findings!$B$2:$B$509,C34)&gt;0,1,0)</f>
        <v>1</v>
      </c>
    </row>
    <row r="35" customFormat="false" ht="15" hidden="false" customHeight="false" outlineLevel="0" collapsed="false">
      <c r="A35" s="2" t="s">
        <v>281</v>
      </c>
      <c r="B35" s="2" t="s">
        <v>277</v>
      </c>
      <c r="C35" s="2" t="s">
        <v>409</v>
      </c>
      <c r="D35" s="2" t="n">
        <f aca="false">IF(COUNTIFS(Findings!$A$2:$A$509,A35,Findings!$B$2:$B$509,C35)&gt;0,1,0)</f>
        <v>1</v>
      </c>
    </row>
    <row r="36" customFormat="false" ht="15" hidden="false" customHeight="false" outlineLevel="0" collapsed="false">
      <c r="A36" s="2" t="s">
        <v>283</v>
      </c>
      <c r="B36" s="2" t="s">
        <v>175</v>
      </c>
      <c r="C36" s="2" t="s">
        <v>314</v>
      </c>
      <c r="D36" s="2" t="n">
        <f aca="false">IF(COUNTIFS(Findings!$A$2:$A$509,A36,Findings!$B$2:$B$509,C36)&gt;0,1,0)</f>
        <v>1</v>
      </c>
    </row>
    <row r="37" customFormat="false" ht="15" hidden="false" customHeight="false" outlineLevel="0" collapsed="false">
      <c r="A37" s="2" t="s">
        <v>286</v>
      </c>
      <c r="B37" s="2" t="s">
        <v>197</v>
      </c>
      <c r="C37" s="2" t="s">
        <v>350</v>
      </c>
      <c r="D37" s="2" t="n">
        <f aca="false">IF(COUNTIFS(Findings!$A$2:$A$509,A37,Findings!$B$2:$B$509,C37)&gt;0,1,0)</f>
        <v>1</v>
      </c>
    </row>
    <row r="38" customFormat="false" ht="15" hidden="false" customHeight="false" outlineLevel="0" collapsed="false">
      <c r="A38" s="2" t="s">
        <v>287</v>
      </c>
      <c r="B38" s="2" t="s">
        <v>186</v>
      </c>
      <c r="C38" s="2" t="s">
        <v>343</v>
      </c>
      <c r="D38" s="2" t="n">
        <f aca="false">IF(COUNTIFS(Findings!$A$2:$A$509,A38,Findings!$B$2:$B$509,C38)&gt;0,1,0)</f>
        <v>1</v>
      </c>
    </row>
    <row r="39" customFormat="false" ht="15" hidden="false" customHeight="false" outlineLevel="0" collapsed="false">
      <c r="A39" s="2" t="s">
        <v>288</v>
      </c>
      <c r="B39" s="2" t="s">
        <v>260</v>
      </c>
      <c r="C39" s="2" t="s">
        <v>401</v>
      </c>
      <c r="D39" s="2" t="n">
        <f aca="false">IF(COUNTIFS(Findings!$A$2:$A$509,A39,Findings!$B$2:$B$509,C39)&gt;0,1,0)</f>
        <v>1</v>
      </c>
    </row>
    <row r="40" customFormat="false" ht="15" hidden="false" customHeight="false" outlineLevel="0" collapsed="false">
      <c r="A40" s="2" t="s">
        <v>292</v>
      </c>
      <c r="B40" s="2" t="s">
        <v>202</v>
      </c>
      <c r="C40" s="2" t="s">
        <v>354</v>
      </c>
      <c r="D40" s="2" t="n">
        <f aca="false">IF(COUNTIFS(Findings!$A$2:$A$509,A40,Findings!$B$2:$B$509,C40)&gt;0,1,0)</f>
        <v>1</v>
      </c>
    </row>
    <row r="41" customFormat="false" ht="15" hidden="false" customHeight="false" outlineLevel="0" collapsed="false">
      <c r="A41" s="2" t="s">
        <v>297</v>
      </c>
      <c r="B41" s="2" t="s">
        <v>197</v>
      </c>
      <c r="C41" s="2" t="s">
        <v>350</v>
      </c>
      <c r="D41" s="2" t="n">
        <f aca="false">IF(COUNTIFS(Findings!$A$2:$A$509,A41,Findings!$B$2:$B$509,C41)&gt;0,1,0)</f>
        <v>1</v>
      </c>
    </row>
    <row r="42" customFormat="false" ht="15" hidden="false" customHeight="false" outlineLevel="0" collapsed="false">
      <c r="A42" s="2" t="s">
        <v>298</v>
      </c>
      <c r="B42" s="2" t="s">
        <v>207</v>
      </c>
      <c r="C42" s="2" t="s">
        <v>360</v>
      </c>
      <c r="D42" s="2" t="n">
        <f aca="false">IF(COUNTIFS(Findings!$A$2:$A$509,A42,Findings!$B$2:$B$509,C42)&gt;0,1,0)</f>
        <v>1</v>
      </c>
    </row>
    <row r="43" customFormat="false" ht="15" hidden="false" customHeight="false" outlineLevel="0" collapsed="false">
      <c r="A43" s="2" t="s">
        <v>300</v>
      </c>
      <c r="B43" s="2" t="s">
        <v>197</v>
      </c>
      <c r="C43" s="2" t="s">
        <v>350</v>
      </c>
      <c r="D43" s="2" t="n">
        <f aca="false">IF(COUNTIFS(Findings!$A$2:$A$509,A43,Findings!$B$2:$B$509,C43)&gt;0,1,0)</f>
        <v>1</v>
      </c>
    </row>
    <row r="44" customFormat="false" ht="15" hidden="false" customHeight="false" outlineLevel="0" collapsed="false">
      <c r="A44" s="2" t="s">
        <v>301</v>
      </c>
      <c r="B44" s="2" t="s">
        <v>250</v>
      </c>
      <c r="C44" s="2" t="s">
        <v>394</v>
      </c>
      <c r="D44" s="2" t="n">
        <f aca="false">IF(COUNTIFS(Findings!$A$2:$A$509,A44,Findings!$B$2:$B$509,C44)&gt;0,1,0)</f>
        <v>1</v>
      </c>
    </row>
    <row r="45" customFormat="false" ht="15" hidden="false" customHeight="false" outlineLevel="0" collapsed="false">
      <c r="A45" s="2" t="s">
        <v>303</v>
      </c>
      <c r="B45" s="2" t="s">
        <v>213</v>
      </c>
      <c r="C45" s="2" t="s">
        <v>364</v>
      </c>
      <c r="D45" s="2" t="n">
        <f aca="false">IF(COUNTIFS(Findings!$A$2:$A$509,A45,Findings!$B$2:$B$509,C45)&gt;0,1,0)</f>
        <v>1</v>
      </c>
    </row>
    <row r="46" customFormat="false" ht="15" hidden="false" customHeight="false" outlineLevel="0" collapsed="false">
      <c r="A46" s="2" t="s">
        <v>304</v>
      </c>
      <c r="B46" s="2" t="s">
        <v>222</v>
      </c>
      <c r="C46" s="2" t="s">
        <v>369</v>
      </c>
      <c r="D46" s="2" t="n">
        <f aca="false">IF(COUNTIFS(Findings!$A$2:$A$509,A46,Findings!$B$2:$B$509,C46)&gt;0,1,0)</f>
        <v>1</v>
      </c>
    </row>
    <row r="47" customFormat="false" ht="15" hidden="false" customHeight="false" outlineLevel="0" collapsed="false">
      <c r="A47" s="2" t="s">
        <v>308</v>
      </c>
      <c r="B47" s="2" t="s">
        <v>277</v>
      </c>
      <c r="C47" s="2" t="s">
        <v>409</v>
      </c>
      <c r="D47" s="2" t="n">
        <f aca="false">IF(COUNTIFS(Findings!$A$2:$A$509,A47,Findings!$B$2:$B$509,C47)&gt;0,1,0)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  <col collapsed="false" customWidth="true" hidden="false" outlineLevel="0" max="5" min="5" style="0" width="16"/>
  </cols>
  <sheetData>
    <row r="1" customFormat="false" ht="23.85" hidden="false" customHeight="false" outlineLevel="0" collapsed="false">
      <c r="A1" s="8" t="s">
        <v>310</v>
      </c>
      <c r="B1" s="8" t="s">
        <v>44</v>
      </c>
      <c r="C1" s="8" t="s">
        <v>311</v>
      </c>
      <c r="D1" s="8" t="s">
        <v>431</v>
      </c>
      <c r="E1" s="8" t="s">
        <v>432</v>
      </c>
    </row>
    <row r="2" customFormat="false" ht="15" hidden="false" customHeight="false" outlineLevel="0" collapsed="false">
      <c r="A2" s="4" t="s">
        <v>401</v>
      </c>
      <c r="B2" s="4" t="s">
        <v>46</v>
      </c>
      <c r="C2" s="4" t="s">
        <v>315</v>
      </c>
      <c r="D2" s="4" t="s">
        <v>433</v>
      </c>
      <c r="E2" s="4" t="n">
        <f aca="false">COUNTIF(Findings!$B$2:$B$509,A2)</f>
        <v>2</v>
      </c>
    </row>
    <row r="3" customFormat="false" ht="15" hidden="false" customHeight="false" outlineLevel="0" collapsed="false">
      <c r="A3" s="4" t="s">
        <v>354</v>
      </c>
      <c r="B3" s="4" t="s">
        <v>46</v>
      </c>
      <c r="C3" s="4" t="s">
        <v>315</v>
      </c>
      <c r="D3" s="4" t="s">
        <v>434</v>
      </c>
      <c r="E3" s="4" t="n">
        <f aca="false">COUNTIF(Findings!$B$2:$B$509,A3)</f>
        <v>2</v>
      </c>
    </row>
    <row r="4" customFormat="false" ht="15" hidden="false" customHeight="false" outlineLevel="0" collapsed="false">
      <c r="A4" s="4" t="s">
        <v>404</v>
      </c>
      <c r="B4" s="4" t="s">
        <v>46</v>
      </c>
      <c r="C4" s="4" t="s">
        <v>315</v>
      </c>
      <c r="D4" s="4" t="s">
        <v>435</v>
      </c>
      <c r="E4" s="4" t="n">
        <f aca="false">COUNTIF(Findings!$B$2:$B$509,A4)</f>
        <v>2</v>
      </c>
    </row>
    <row r="5" customFormat="false" ht="15" hidden="false" customHeight="false" outlineLevel="0" collapsed="false">
      <c r="A5" s="4" t="s">
        <v>436</v>
      </c>
      <c r="B5" s="4" t="s">
        <v>46</v>
      </c>
      <c r="C5" s="4" t="s">
        <v>315</v>
      </c>
      <c r="D5" s="4" t="s">
        <v>437</v>
      </c>
      <c r="E5" s="4" t="n">
        <f aca="false">COUNTIF(Findings!$B$2:$B$509,A5)</f>
        <v>0</v>
      </c>
    </row>
    <row r="6" customFormat="false" ht="15" hidden="false" customHeight="false" outlineLevel="0" collapsed="false">
      <c r="A6" s="4" t="s">
        <v>438</v>
      </c>
      <c r="B6" s="4" t="s">
        <v>46</v>
      </c>
      <c r="C6" s="4" t="s">
        <v>315</v>
      </c>
      <c r="D6" s="4" t="s">
        <v>439</v>
      </c>
      <c r="E6" s="4" t="n">
        <f aca="false">COUNTIF(Findings!$B$2:$B$509,A6)</f>
        <v>0</v>
      </c>
    </row>
    <row r="7" customFormat="false" ht="15" hidden="false" customHeight="false" outlineLevel="0" collapsed="false">
      <c r="A7" s="4" t="s">
        <v>440</v>
      </c>
      <c r="B7" s="4" t="s">
        <v>46</v>
      </c>
      <c r="C7" s="4" t="s">
        <v>315</v>
      </c>
      <c r="D7" s="4" t="s">
        <v>441</v>
      </c>
      <c r="E7" s="4" t="n">
        <f aca="false">COUNTIF(Findings!$B$2:$B$509,A7)</f>
        <v>0</v>
      </c>
    </row>
    <row r="8" customFormat="false" ht="15" hidden="false" customHeight="false" outlineLevel="0" collapsed="false">
      <c r="A8" s="4" t="s">
        <v>442</v>
      </c>
      <c r="B8" s="4" t="s">
        <v>46</v>
      </c>
      <c r="C8" s="4" t="s">
        <v>315</v>
      </c>
      <c r="D8" s="4" t="s">
        <v>443</v>
      </c>
      <c r="E8" s="4" t="n">
        <f aca="false">COUNTIF(Findings!$B$2:$B$509,A8)</f>
        <v>0</v>
      </c>
    </row>
    <row r="9" customFormat="false" ht="15" hidden="false" customHeight="false" outlineLevel="0" collapsed="false">
      <c r="A9" s="4" t="s">
        <v>384</v>
      </c>
      <c r="B9" s="4" t="s">
        <v>47</v>
      </c>
      <c r="C9" s="4" t="s">
        <v>315</v>
      </c>
      <c r="D9" s="4" t="s">
        <v>444</v>
      </c>
      <c r="E9" s="4" t="n">
        <f aca="false">COUNTIF(Findings!$B$2:$B$509,A9)</f>
        <v>1</v>
      </c>
    </row>
    <row r="10" customFormat="false" ht="15" hidden="false" customHeight="false" outlineLevel="0" collapsed="false">
      <c r="A10" s="4" t="s">
        <v>386</v>
      </c>
      <c r="B10" s="4" t="s">
        <v>48</v>
      </c>
      <c r="C10" s="4" t="s">
        <v>315</v>
      </c>
      <c r="D10" s="4" t="s">
        <v>445</v>
      </c>
      <c r="E10" s="4" t="n">
        <f aca="false">COUNTIF(Findings!$B$2:$B$509,A10)</f>
        <v>1</v>
      </c>
    </row>
    <row r="11" customFormat="false" ht="15" hidden="false" customHeight="false" outlineLevel="0" collapsed="false">
      <c r="A11" s="4" t="s">
        <v>343</v>
      </c>
      <c r="B11" s="4" t="s">
        <v>48</v>
      </c>
      <c r="C11" s="4" t="s">
        <v>315</v>
      </c>
      <c r="D11" s="4" t="s">
        <v>446</v>
      </c>
      <c r="E11" s="4" t="n">
        <f aca="false">COUNTIF(Findings!$B$2:$B$509,A11)</f>
        <v>3</v>
      </c>
    </row>
    <row r="12" customFormat="false" ht="15" hidden="false" customHeight="false" outlineLevel="0" collapsed="false">
      <c r="A12" s="4" t="s">
        <v>360</v>
      </c>
      <c r="B12" s="4" t="s">
        <v>48</v>
      </c>
      <c r="C12" s="4" t="s">
        <v>315</v>
      </c>
      <c r="D12" s="4" t="s">
        <v>447</v>
      </c>
      <c r="E12" s="4" t="n">
        <f aca="false">COUNTIF(Findings!$B$2:$B$509,A12)</f>
        <v>6</v>
      </c>
    </row>
    <row r="13" customFormat="false" ht="15" hidden="false" customHeight="false" outlineLevel="0" collapsed="false">
      <c r="A13" s="4" t="s">
        <v>394</v>
      </c>
      <c r="B13" s="4" t="s">
        <v>48</v>
      </c>
      <c r="C13" s="4" t="s">
        <v>315</v>
      </c>
      <c r="D13" s="4" t="s">
        <v>448</v>
      </c>
      <c r="E13" s="4" t="n">
        <f aca="false">COUNTIF(Findings!$B$2:$B$509,A13)</f>
        <v>2</v>
      </c>
    </row>
    <row r="14" customFormat="false" ht="15" hidden="false" customHeight="false" outlineLevel="0" collapsed="false">
      <c r="A14" s="4" t="s">
        <v>378</v>
      </c>
      <c r="B14" s="4" t="s">
        <v>48</v>
      </c>
      <c r="C14" s="4" t="s">
        <v>315</v>
      </c>
      <c r="D14" s="4" t="s">
        <v>449</v>
      </c>
      <c r="E14" s="4" t="n">
        <f aca="false">COUNTIF(Findings!$B$2:$B$509,A14)</f>
        <v>2</v>
      </c>
    </row>
    <row r="15" customFormat="false" ht="15" hidden="false" customHeight="false" outlineLevel="0" collapsed="false">
      <c r="A15" s="4" t="s">
        <v>314</v>
      </c>
      <c r="B15" s="4" t="s">
        <v>48</v>
      </c>
      <c r="C15" s="4" t="s">
        <v>315</v>
      </c>
      <c r="D15" s="4" t="s">
        <v>450</v>
      </c>
      <c r="E15" s="4" t="n">
        <f aca="false">COUNTIF(Findings!$B$2:$B$509,A15)</f>
        <v>2</v>
      </c>
    </row>
    <row r="16" customFormat="false" ht="15" hidden="false" customHeight="false" outlineLevel="0" collapsed="false">
      <c r="A16" s="4" t="s">
        <v>451</v>
      </c>
      <c r="B16" s="4" t="s">
        <v>48</v>
      </c>
      <c r="C16" s="4" t="s">
        <v>315</v>
      </c>
      <c r="D16" s="4" t="s">
        <v>452</v>
      </c>
      <c r="E16" s="4" t="n">
        <f aca="false">COUNTIF(Findings!$B$2:$B$509,A16)</f>
        <v>0</v>
      </c>
    </row>
    <row r="17" customFormat="false" ht="15" hidden="false" customHeight="false" outlineLevel="0" collapsed="false">
      <c r="A17" s="4" t="s">
        <v>453</v>
      </c>
      <c r="B17" s="4" t="s">
        <v>48</v>
      </c>
      <c r="C17" s="4" t="s">
        <v>315</v>
      </c>
      <c r="D17" s="4" t="s">
        <v>454</v>
      </c>
      <c r="E17" s="4" t="n">
        <f aca="false">COUNTIF(Findings!$B$2:$B$509,A17)</f>
        <v>0</v>
      </c>
    </row>
    <row r="18" customFormat="false" ht="15" hidden="false" customHeight="false" outlineLevel="0" collapsed="false">
      <c r="A18" s="4" t="s">
        <v>350</v>
      </c>
      <c r="B18" s="4" t="s">
        <v>49</v>
      </c>
      <c r="C18" s="4" t="s">
        <v>315</v>
      </c>
      <c r="D18" s="4" t="s">
        <v>455</v>
      </c>
      <c r="E18" s="4" t="n">
        <f aca="false">COUNTIF(Findings!$B$2:$B$509,A18)</f>
        <v>5</v>
      </c>
    </row>
    <row r="19" customFormat="false" ht="15" hidden="false" customHeight="false" outlineLevel="0" collapsed="false">
      <c r="A19" s="4" t="s">
        <v>456</v>
      </c>
      <c r="B19" s="4" t="s">
        <v>49</v>
      </c>
      <c r="C19" s="4" t="s">
        <v>323</v>
      </c>
      <c r="D19" s="4" t="s">
        <v>457</v>
      </c>
      <c r="E19" s="4" t="n">
        <f aca="false">COUNTIF(Findings!$B$2:$B$509,A19)</f>
        <v>0</v>
      </c>
    </row>
    <row r="20" customFormat="false" ht="15" hidden="false" customHeight="false" outlineLevel="0" collapsed="false">
      <c r="A20" s="4" t="s">
        <v>458</v>
      </c>
      <c r="B20" s="4" t="s">
        <v>49</v>
      </c>
      <c r="C20" s="4" t="s">
        <v>319</v>
      </c>
      <c r="D20" s="4" t="s">
        <v>459</v>
      </c>
      <c r="E20" s="4" t="n">
        <f aca="false">COUNTIF(Findings!$B$2:$B$509,A20)</f>
        <v>0</v>
      </c>
    </row>
    <row r="21" customFormat="false" ht="15" hidden="false" customHeight="false" outlineLevel="0" collapsed="false">
      <c r="A21" s="4" t="s">
        <v>366</v>
      </c>
      <c r="B21" s="4" t="s">
        <v>48</v>
      </c>
      <c r="C21" s="4" t="s">
        <v>315</v>
      </c>
      <c r="D21" s="4" t="s">
        <v>460</v>
      </c>
      <c r="E21" s="4" t="n">
        <f aca="false">COUNTIF(Findings!$B$2:$B$509,A21)</f>
        <v>2</v>
      </c>
    </row>
    <row r="22" customFormat="false" ht="15" hidden="false" customHeight="false" outlineLevel="0" collapsed="false">
      <c r="A22" s="4" t="s">
        <v>347</v>
      </c>
      <c r="B22" s="4" t="s">
        <v>48</v>
      </c>
      <c r="C22" s="4" t="s">
        <v>323</v>
      </c>
      <c r="D22" s="4" t="s">
        <v>461</v>
      </c>
      <c r="E22" s="4" t="n">
        <f aca="false">COUNTIF(Findings!$B$2:$B$509,A22)</f>
        <v>2</v>
      </c>
    </row>
    <row r="23" customFormat="false" ht="15" hidden="false" customHeight="false" outlineLevel="0" collapsed="false">
      <c r="A23" s="4" t="s">
        <v>381</v>
      </c>
      <c r="B23" s="4" t="s">
        <v>48</v>
      </c>
      <c r="C23" s="4" t="s">
        <v>323</v>
      </c>
      <c r="D23" s="4" t="s">
        <v>462</v>
      </c>
      <c r="E23" s="4" t="n">
        <f aca="false">COUNTIF(Findings!$B$2:$B$509,A23)</f>
        <v>2</v>
      </c>
    </row>
    <row r="24" customFormat="false" ht="15" hidden="false" customHeight="false" outlineLevel="0" collapsed="false">
      <c r="A24" s="4" t="s">
        <v>364</v>
      </c>
      <c r="B24" s="4" t="s">
        <v>48</v>
      </c>
      <c r="C24" s="4" t="s">
        <v>323</v>
      </c>
      <c r="D24" s="4" t="s">
        <v>463</v>
      </c>
      <c r="E24" s="4" t="n">
        <f aca="false">COUNTIF(Findings!$B$2:$B$509,A24)</f>
        <v>2</v>
      </c>
    </row>
    <row r="25" customFormat="false" ht="15" hidden="false" customHeight="false" outlineLevel="0" collapsed="false">
      <c r="A25" s="4" t="s">
        <v>357</v>
      </c>
      <c r="B25" s="4" t="s">
        <v>48</v>
      </c>
      <c r="C25" s="4" t="s">
        <v>323</v>
      </c>
      <c r="D25" s="4" t="s">
        <v>464</v>
      </c>
      <c r="E25" s="4" t="n">
        <f aca="false">COUNTIF(Findings!$B$2:$B$509,A25)</f>
        <v>4</v>
      </c>
    </row>
    <row r="26" customFormat="false" ht="15" hidden="false" customHeight="false" outlineLevel="0" collapsed="false">
      <c r="A26" s="4" t="s">
        <v>465</v>
      </c>
      <c r="B26" s="4" t="s">
        <v>48</v>
      </c>
      <c r="C26" s="4" t="s">
        <v>323</v>
      </c>
      <c r="D26" s="4" t="s">
        <v>466</v>
      </c>
      <c r="E26" s="4" t="n">
        <f aca="false">COUNTIF(Findings!$B$2:$B$509,A26)</f>
        <v>0</v>
      </c>
    </row>
    <row r="27" customFormat="false" ht="15" hidden="false" customHeight="false" outlineLevel="0" collapsed="false">
      <c r="A27" s="4" t="s">
        <v>318</v>
      </c>
      <c r="B27" s="4" t="s">
        <v>48</v>
      </c>
      <c r="C27" s="4" t="s">
        <v>319</v>
      </c>
      <c r="D27" s="4" t="s">
        <v>467</v>
      </c>
      <c r="E27" s="4" t="n">
        <f aca="false">COUNTIF(Findings!$B$2:$B$509,A27)</f>
        <v>82</v>
      </c>
    </row>
    <row r="28" customFormat="false" ht="15" hidden="false" customHeight="false" outlineLevel="0" collapsed="false">
      <c r="A28" s="4" t="s">
        <v>369</v>
      </c>
      <c r="B28" s="4" t="s">
        <v>50</v>
      </c>
      <c r="C28" s="4" t="s">
        <v>323</v>
      </c>
      <c r="D28" s="4" t="s">
        <v>468</v>
      </c>
      <c r="E28" s="4" t="n">
        <f aca="false">COUNTIF(Findings!$B$2:$B$509,A28)</f>
        <v>3</v>
      </c>
    </row>
    <row r="29" customFormat="false" ht="15" hidden="false" customHeight="false" outlineLevel="0" collapsed="false">
      <c r="A29" s="4" t="s">
        <v>372</v>
      </c>
      <c r="B29" s="4" t="s">
        <v>50</v>
      </c>
      <c r="C29" s="4" t="s">
        <v>323</v>
      </c>
      <c r="D29" s="4" t="s">
        <v>469</v>
      </c>
      <c r="E29" s="4" t="n">
        <f aca="false">COUNTIF(Findings!$B$2:$B$509,A29)</f>
        <v>3</v>
      </c>
    </row>
    <row r="30" customFormat="false" ht="15" hidden="false" customHeight="false" outlineLevel="0" collapsed="false">
      <c r="A30" s="4" t="s">
        <v>470</v>
      </c>
      <c r="B30" s="4" t="s">
        <v>50</v>
      </c>
      <c r="C30" s="4" t="s">
        <v>323</v>
      </c>
      <c r="D30" s="4" t="s">
        <v>471</v>
      </c>
      <c r="E30" s="4" t="n">
        <f aca="false">COUNTIF(Findings!$B$2:$B$509,A30)</f>
        <v>0</v>
      </c>
    </row>
    <row r="31" customFormat="false" ht="15" hidden="false" customHeight="false" outlineLevel="0" collapsed="false">
      <c r="A31" s="4" t="s">
        <v>322</v>
      </c>
      <c r="B31" s="4" t="s">
        <v>51</v>
      </c>
      <c r="C31" s="4" t="s">
        <v>323</v>
      </c>
      <c r="D31" s="4" t="s">
        <v>472</v>
      </c>
      <c r="E31" s="4" t="n">
        <f aca="false">COUNTIF(Findings!$B$2:$B$509,A31)</f>
        <v>23</v>
      </c>
    </row>
    <row r="32" customFormat="false" ht="15" hidden="false" customHeight="false" outlineLevel="0" collapsed="false">
      <c r="A32" s="4" t="s">
        <v>339</v>
      </c>
      <c r="B32" s="4" t="s">
        <v>51</v>
      </c>
      <c r="C32" s="4" t="s">
        <v>319</v>
      </c>
      <c r="D32" s="4" t="s">
        <v>473</v>
      </c>
      <c r="E32" s="4" t="n">
        <f aca="false">COUNTIF(Findings!$B$2:$B$509,A32)</f>
        <v>41</v>
      </c>
    </row>
    <row r="33" customFormat="false" ht="15" hidden="false" customHeight="false" outlineLevel="0" collapsed="false">
      <c r="A33" s="4" t="s">
        <v>332</v>
      </c>
      <c r="B33" s="4" t="s">
        <v>51</v>
      </c>
      <c r="C33" s="4" t="s">
        <v>319</v>
      </c>
      <c r="D33" s="4" t="s">
        <v>474</v>
      </c>
      <c r="E33" s="4" t="n">
        <f aca="false">COUNTIF(Findings!$B$2:$B$509,A33)</f>
        <v>63</v>
      </c>
    </row>
    <row r="34" customFormat="false" ht="15" hidden="false" customHeight="false" outlineLevel="0" collapsed="false">
      <c r="A34" s="4" t="s">
        <v>326</v>
      </c>
      <c r="B34" s="4" t="s">
        <v>51</v>
      </c>
      <c r="C34" s="4" t="s">
        <v>319</v>
      </c>
      <c r="D34" s="4" t="s">
        <v>475</v>
      </c>
      <c r="E34" s="4" t="n">
        <f aca="false">COUNTIF(Findings!$B$2:$B$509,A34)</f>
        <v>23</v>
      </c>
    </row>
    <row r="35" customFormat="false" ht="15" hidden="false" customHeight="false" outlineLevel="0" collapsed="false">
      <c r="A35" s="4" t="s">
        <v>409</v>
      </c>
      <c r="B35" s="4" t="s">
        <v>51</v>
      </c>
      <c r="C35" s="4" t="s">
        <v>323</v>
      </c>
      <c r="D35" s="4" t="s">
        <v>476</v>
      </c>
      <c r="E35" s="4" t="n">
        <f aca="false">COUNTIF(Findings!$B$2:$B$509,A35)</f>
        <v>3</v>
      </c>
    </row>
    <row r="36" customFormat="false" ht="15" hidden="false" customHeight="false" outlineLevel="0" collapsed="false">
      <c r="A36" s="4" t="s">
        <v>329</v>
      </c>
      <c r="B36" s="4" t="s">
        <v>52</v>
      </c>
      <c r="C36" s="4" t="s">
        <v>319</v>
      </c>
      <c r="D36" s="4" t="s">
        <v>477</v>
      </c>
      <c r="E36" s="4" t="n">
        <f aca="false">COUNTIF(Findings!$B$2:$B$509,A36)</f>
        <v>180</v>
      </c>
    </row>
    <row r="37" customFormat="false" ht="15" hidden="false" customHeight="false" outlineLevel="0" collapsed="false">
      <c r="A37" s="4" t="s">
        <v>336</v>
      </c>
      <c r="B37" s="4" t="s">
        <v>52</v>
      </c>
      <c r="C37" s="4" t="s">
        <v>319</v>
      </c>
      <c r="D37" s="4" t="s">
        <v>478</v>
      </c>
      <c r="E37" s="4" t="n">
        <f aca="false">COUNTIF(Findings!$B$2:$B$509,A37)</f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8" t="s">
        <v>479</v>
      </c>
      <c r="B1" s="8" t="s">
        <v>480</v>
      </c>
      <c r="C1" s="8" t="s">
        <v>481</v>
      </c>
      <c r="D1" s="8" t="s">
        <v>482</v>
      </c>
      <c r="E1" s="8" t="s">
        <v>483</v>
      </c>
      <c r="F1" s="8" t="s">
        <v>484</v>
      </c>
      <c r="G1" s="8" t="s">
        <v>485</v>
      </c>
      <c r="H1" s="8" t="s">
        <v>486</v>
      </c>
    </row>
    <row r="2" customFormat="false" ht="15" hidden="false" customHeight="false" outlineLevel="0" collapsed="false">
      <c r="A2" s="29" t="s">
        <v>487</v>
      </c>
      <c r="B2" s="29" t="s">
        <v>488</v>
      </c>
      <c r="C2" s="29" t="s">
        <v>489</v>
      </c>
      <c r="D2" s="29" t="s">
        <v>166</v>
      </c>
      <c r="E2" s="29" t="s">
        <v>490</v>
      </c>
      <c r="F2" s="29" t="s">
        <v>491</v>
      </c>
      <c r="G2" s="29" t="s">
        <v>492</v>
      </c>
      <c r="H2" s="29" t="s">
        <v>493</v>
      </c>
    </row>
    <row r="3" customFormat="false" ht="23.85" hidden="false" customHeight="false" outlineLevel="0" collapsed="false">
      <c r="A3" s="29" t="s">
        <v>494</v>
      </c>
      <c r="B3" s="29" t="s">
        <v>495</v>
      </c>
      <c r="C3" s="29" t="s">
        <v>496</v>
      </c>
      <c r="D3" s="29" t="s">
        <v>167</v>
      </c>
      <c r="E3" s="29" t="s">
        <v>497</v>
      </c>
      <c r="F3" s="29" t="s">
        <v>498</v>
      </c>
      <c r="G3" s="29" t="s">
        <v>492</v>
      </c>
      <c r="H3" s="29" t="s">
        <v>499</v>
      </c>
    </row>
    <row r="4" customFormat="false" ht="15" hidden="false" customHeight="false" outlineLevel="0" collapsed="false">
      <c r="A4" s="29" t="s">
        <v>355</v>
      </c>
      <c r="B4" s="29" t="s">
        <v>500</v>
      </c>
      <c r="C4" s="29" t="s">
        <v>501</v>
      </c>
      <c r="D4" s="29" t="s">
        <v>166</v>
      </c>
      <c r="E4" s="29" t="s">
        <v>502</v>
      </c>
      <c r="F4" s="29" t="s">
        <v>503</v>
      </c>
      <c r="G4" s="29" t="s">
        <v>492</v>
      </c>
      <c r="H4" s="29" t="s">
        <v>504</v>
      </c>
    </row>
    <row r="5" customFormat="false" ht="15" hidden="false" customHeight="false" outlineLevel="0" collapsed="false">
      <c r="A5" s="29" t="s">
        <v>505</v>
      </c>
      <c r="B5" s="29" t="s">
        <v>506</v>
      </c>
      <c r="C5" s="29" t="s">
        <v>507</v>
      </c>
      <c r="D5" s="29" t="s">
        <v>166</v>
      </c>
      <c r="E5" s="29" t="s">
        <v>508</v>
      </c>
      <c r="F5" s="29" t="s">
        <v>509</v>
      </c>
      <c r="G5" s="29" t="s">
        <v>492</v>
      </c>
      <c r="H5" s="29"/>
    </row>
    <row r="6" customFormat="false" ht="15" hidden="false" customHeight="false" outlineLevel="0" collapsed="false">
      <c r="A6" s="29" t="s">
        <v>510</v>
      </c>
      <c r="B6" s="29" t="s">
        <v>511</v>
      </c>
      <c r="C6" s="29" t="s">
        <v>512</v>
      </c>
      <c r="D6" s="29" t="s">
        <v>166</v>
      </c>
      <c r="E6" s="29" t="s">
        <v>513</v>
      </c>
      <c r="F6" s="29" t="s">
        <v>514</v>
      </c>
      <c r="G6" s="29" t="s">
        <v>492</v>
      </c>
      <c r="H6" s="29" t="s">
        <v>515</v>
      </c>
    </row>
    <row r="7" customFormat="false" ht="15" hidden="false" customHeight="false" outlineLevel="0" collapsed="false">
      <c r="A7" s="29" t="s">
        <v>516</v>
      </c>
      <c r="B7" s="29" t="s">
        <v>517</v>
      </c>
      <c r="C7" s="29" t="s">
        <v>518</v>
      </c>
      <c r="D7" s="29" t="s">
        <v>166</v>
      </c>
      <c r="E7" s="29" t="s">
        <v>519</v>
      </c>
      <c r="F7" s="29" t="s">
        <v>520</v>
      </c>
      <c r="G7" s="29" t="s">
        <v>521</v>
      </c>
      <c r="H7" s="29" t="s">
        <v>522</v>
      </c>
    </row>
    <row r="8" customFormat="false" ht="23.85" hidden="false" customHeight="false" outlineLevel="0" collapsed="false">
      <c r="A8" s="29" t="s">
        <v>523</v>
      </c>
      <c r="B8" s="29" t="s">
        <v>524</v>
      </c>
      <c r="C8" s="29" t="s">
        <v>525</v>
      </c>
      <c r="D8" s="29" t="s">
        <v>168</v>
      </c>
      <c r="E8" s="29" t="s">
        <v>526</v>
      </c>
      <c r="F8" s="29" t="s">
        <v>527</v>
      </c>
      <c r="G8" s="29" t="s">
        <v>528</v>
      </c>
      <c r="H8" s="29" t="s">
        <v>529</v>
      </c>
    </row>
    <row r="9" customFormat="false" ht="15" hidden="false" customHeight="false" outlineLevel="0" collapsed="false">
      <c r="A9" s="29" t="s">
        <v>530</v>
      </c>
      <c r="B9" s="29" t="s">
        <v>531</v>
      </c>
      <c r="C9" s="29" t="s">
        <v>532</v>
      </c>
      <c r="D9" s="29" t="s">
        <v>166</v>
      </c>
      <c r="E9" s="29" t="s">
        <v>533</v>
      </c>
      <c r="F9" s="29" t="s">
        <v>534</v>
      </c>
      <c r="G9" s="29" t="s">
        <v>535</v>
      </c>
      <c r="H9" s="29" t="s">
        <v>536</v>
      </c>
    </row>
    <row r="10" customFormat="false" ht="15" hidden="false" customHeight="false" outlineLevel="0" collapsed="false">
      <c r="A10" s="29" t="s">
        <v>537</v>
      </c>
      <c r="B10" s="29" t="s">
        <v>538</v>
      </c>
      <c r="C10" s="29" t="s">
        <v>539</v>
      </c>
      <c r="D10" s="29" t="s">
        <v>166</v>
      </c>
      <c r="E10" s="29" t="s">
        <v>540</v>
      </c>
      <c r="F10" s="29" t="s">
        <v>541</v>
      </c>
      <c r="G10" s="29" t="s">
        <v>535</v>
      </c>
      <c r="H10" s="29" t="s">
        <v>542</v>
      </c>
    </row>
    <row r="11" customFormat="false" ht="15" hidden="false" customHeight="false" outlineLevel="0" collapsed="false">
      <c r="A11" s="29" t="s">
        <v>543</v>
      </c>
      <c r="B11" s="29" t="s">
        <v>544</v>
      </c>
      <c r="C11" s="29" t="s">
        <v>545</v>
      </c>
      <c r="D11" s="29" t="s">
        <v>166</v>
      </c>
      <c r="E11" s="29" t="s">
        <v>508</v>
      </c>
      <c r="F11" s="29" t="s">
        <v>546</v>
      </c>
      <c r="G11" s="29" t="s">
        <v>528</v>
      </c>
      <c r="H11" s="29" t="s">
        <v>547</v>
      </c>
    </row>
    <row r="12" customFormat="false" ht="15" hidden="false" customHeight="false" outlineLevel="0" collapsed="false">
      <c r="A12" s="29" t="s">
        <v>548</v>
      </c>
      <c r="B12" s="29" t="s">
        <v>549</v>
      </c>
      <c r="C12" s="29" t="s">
        <v>550</v>
      </c>
      <c r="D12" s="29" t="s">
        <v>166</v>
      </c>
      <c r="E12" s="29" t="s">
        <v>508</v>
      </c>
      <c r="F12" s="29" t="s">
        <v>551</v>
      </c>
      <c r="G12" s="29" t="s">
        <v>492</v>
      </c>
      <c r="H12" s="29" t="s">
        <v>552</v>
      </c>
    </row>
    <row r="13" customFormat="false" ht="15" hidden="false" customHeight="false" outlineLevel="0" collapsed="false">
      <c r="A13" s="29" t="s">
        <v>553</v>
      </c>
      <c r="B13" s="29" t="s">
        <v>554</v>
      </c>
      <c r="C13" s="29" t="s">
        <v>555</v>
      </c>
      <c r="D13" s="29" t="s">
        <v>166</v>
      </c>
      <c r="E13" s="29" t="s">
        <v>508</v>
      </c>
      <c r="F13" s="29" t="s">
        <v>551</v>
      </c>
      <c r="G13" s="29" t="s">
        <v>492</v>
      </c>
      <c r="H13" s="29"/>
    </row>
    <row r="14" customFormat="false" ht="15" hidden="false" customHeight="false" outlineLevel="0" collapsed="false">
      <c r="A14" s="29" t="s">
        <v>556</v>
      </c>
      <c r="B14" s="29" t="s">
        <v>557</v>
      </c>
      <c r="C14" s="29" t="s">
        <v>558</v>
      </c>
      <c r="D14" s="29" t="s">
        <v>166</v>
      </c>
      <c r="E14" s="29" t="s">
        <v>508</v>
      </c>
      <c r="F14" s="29" t="s">
        <v>559</v>
      </c>
      <c r="G14" s="29" t="s">
        <v>492</v>
      </c>
      <c r="H14" s="29"/>
    </row>
    <row r="15" customFormat="false" ht="23.85" hidden="false" customHeight="false" outlineLevel="0" collapsed="false">
      <c r="A15" s="29" t="s">
        <v>560</v>
      </c>
      <c r="B15" s="29" t="s">
        <v>561</v>
      </c>
      <c r="C15" s="29" t="s">
        <v>562</v>
      </c>
      <c r="D15" s="29" t="s">
        <v>166</v>
      </c>
      <c r="E15" s="29" t="s">
        <v>508</v>
      </c>
      <c r="F15" s="29" t="s">
        <v>546</v>
      </c>
      <c r="G15" s="29" t="s">
        <v>528</v>
      </c>
      <c r="H15" s="29" t="s">
        <v>563</v>
      </c>
    </row>
    <row r="16" customFormat="false" ht="23.85" hidden="false" customHeight="false" outlineLevel="0" collapsed="false">
      <c r="A16" s="29" t="s">
        <v>402</v>
      </c>
      <c r="B16" s="29" t="s">
        <v>564</v>
      </c>
      <c r="C16" s="29" t="s">
        <v>565</v>
      </c>
      <c r="D16" s="29" t="s">
        <v>168</v>
      </c>
      <c r="E16" s="29" t="s">
        <v>566</v>
      </c>
      <c r="F16" s="29" t="s">
        <v>567</v>
      </c>
      <c r="G16" s="29" t="s">
        <v>528</v>
      </c>
      <c r="H16" s="29" t="s">
        <v>568</v>
      </c>
    </row>
    <row r="17" customFormat="false" ht="15" hidden="false" customHeight="false" outlineLevel="0" collapsed="false">
      <c r="A17" s="29" t="s">
        <v>569</v>
      </c>
      <c r="B17" s="29" t="s">
        <v>570</v>
      </c>
      <c r="C17" s="29" t="s">
        <v>571</v>
      </c>
      <c r="D17" s="29" t="s">
        <v>166</v>
      </c>
      <c r="E17" s="29" t="s">
        <v>572</v>
      </c>
      <c r="F17" s="29" t="s">
        <v>534</v>
      </c>
      <c r="G17" s="29" t="s">
        <v>535</v>
      </c>
      <c r="H17" s="29"/>
    </row>
    <row r="18" customFormat="false" ht="23.85" hidden="false" customHeight="false" outlineLevel="0" collapsed="false">
      <c r="A18" s="29" t="s">
        <v>373</v>
      </c>
      <c r="B18" s="29" t="s">
        <v>573</v>
      </c>
      <c r="C18" s="29" t="s">
        <v>574</v>
      </c>
      <c r="D18" s="29" t="s">
        <v>575</v>
      </c>
      <c r="E18" s="29" t="s">
        <v>576</v>
      </c>
      <c r="F18" s="29" t="s">
        <v>577</v>
      </c>
      <c r="G18" s="29" t="s">
        <v>535</v>
      </c>
      <c r="H18" s="29" t="s">
        <v>578</v>
      </c>
    </row>
    <row r="19" customFormat="false" ht="15" hidden="false" customHeight="false" outlineLevel="0" collapsed="false">
      <c r="A19" s="29" t="s">
        <v>579</v>
      </c>
      <c r="B19" s="29" t="s">
        <v>580</v>
      </c>
      <c r="C19" s="29" t="s">
        <v>581</v>
      </c>
      <c r="D19" s="29" t="s">
        <v>167</v>
      </c>
      <c r="E19" s="29" t="s">
        <v>582</v>
      </c>
      <c r="F19" s="29" t="s">
        <v>583</v>
      </c>
      <c r="G19" s="29" t="s">
        <v>535</v>
      </c>
      <c r="H19" s="29" t="s">
        <v>584</v>
      </c>
    </row>
    <row r="20" customFormat="false" ht="15" hidden="false" customHeight="false" outlineLevel="0" collapsed="false">
      <c r="A20" s="29" t="s">
        <v>585</v>
      </c>
      <c r="B20" s="29" t="s">
        <v>586</v>
      </c>
      <c r="C20" s="29" t="s">
        <v>587</v>
      </c>
      <c r="D20" s="29" t="s">
        <v>167</v>
      </c>
      <c r="E20" s="29" t="s">
        <v>588</v>
      </c>
      <c r="F20" s="29" t="s">
        <v>589</v>
      </c>
      <c r="G20" s="29" t="s">
        <v>492</v>
      </c>
      <c r="H20" s="29" t="s">
        <v>590</v>
      </c>
    </row>
    <row r="21" customFormat="false" ht="23.85" hidden="false" customHeight="false" outlineLevel="0" collapsed="false">
      <c r="A21" s="29" t="s">
        <v>591</v>
      </c>
      <c r="B21" s="29" t="s">
        <v>592</v>
      </c>
      <c r="C21" s="29" t="s">
        <v>593</v>
      </c>
      <c r="D21" s="29" t="s">
        <v>594</v>
      </c>
      <c r="E21" s="29" t="s">
        <v>595</v>
      </c>
      <c r="F21" s="29" t="s">
        <v>596</v>
      </c>
      <c r="G21" s="29" t="s">
        <v>528</v>
      </c>
      <c r="H21" s="29" t="s">
        <v>597</v>
      </c>
    </row>
    <row r="22" customFormat="false" ht="15" hidden="false" customHeight="false" outlineLevel="0" collapsed="false">
      <c r="A22" s="29" t="s">
        <v>598</v>
      </c>
      <c r="B22" s="29" t="s">
        <v>599</v>
      </c>
      <c r="C22" s="29" t="s">
        <v>600</v>
      </c>
      <c r="D22" s="29" t="s">
        <v>170</v>
      </c>
      <c r="E22" s="29" t="s">
        <v>601</v>
      </c>
      <c r="F22" s="29" t="s">
        <v>602</v>
      </c>
      <c r="G22" s="29" t="s">
        <v>492</v>
      </c>
      <c r="H22" s="29" t="s">
        <v>603</v>
      </c>
    </row>
    <row r="23" customFormat="false" ht="15" hidden="false" customHeight="false" outlineLevel="0" collapsed="false">
      <c r="A23" s="29" t="s">
        <v>604</v>
      </c>
      <c r="B23" s="29" t="s">
        <v>605</v>
      </c>
      <c r="C23" s="29" t="s">
        <v>606</v>
      </c>
      <c r="D23" s="29" t="s">
        <v>170</v>
      </c>
      <c r="E23" s="29" t="s">
        <v>607</v>
      </c>
      <c r="F23" s="29" t="s">
        <v>608</v>
      </c>
      <c r="G23" s="29" t="s">
        <v>492</v>
      </c>
      <c r="H23" s="29" t="s">
        <v>609</v>
      </c>
    </row>
    <row r="24" customFormat="false" ht="23.85" hidden="false" customHeight="false" outlineLevel="0" collapsed="false">
      <c r="A24" s="29" t="s">
        <v>610</v>
      </c>
      <c r="B24" s="29" t="s">
        <v>611</v>
      </c>
      <c r="C24" s="29" t="s">
        <v>612</v>
      </c>
      <c r="D24" s="29" t="s">
        <v>594</v>
      </c>
      <c r="E24" s="29" t="s">
        <v>508</v>
      </c>
      <c r="F24" s="29" t="s">
        <v>613</v>
      </c>
      <c r="G24" s="29" t="s">
        <v>528</v>
      </c>
      <c r="H24" s="29" t="s">
        <v>614</v>
      </c>
    </row>
    <row r="25" customFormat="false" ht="15" hidden="false" customHeight="false" outlineLevel="0" collapsed="false">
      <c r="A25" s="29" t="s">
        <v>615</v>
      </c>
      <c r="B25" s="29" t="s">
        <v>616</v>
      </c>
      <c r="C25" s="29" t="s">
        <v>617</v>
      </c>
      <c r="D25" s="29" t="s">
        <v>166</v>
      </c>
      <c r="E25" s="29" t="s">
        <v>618</v>
      </c>
      <c r="F25" s="29" t="s">
        <v>619</v>
      </c>
      <c r="G25" s="29" t="s">
        <v>492</v>
      </c>
      <c r="H25" s="29" t="s">
        <v>620</v>
      </c>
    </row>
  </sheetData>
  <conditionalFormatting sqref="G2:G25">
    <cfRule type="cellIs" priority="2" operator="equal" aboveAverage="0" equalAverage="0" bottom="0" percent="0" rank="0" text="" dxfId="1">
      <formula>"GAIN"</formula>
    </cfRule>
    <cfRule type="cellIs" priority="3" operator="equal" aboveAverage="0" equalAverage="0" bottom="0" percent="0" rank="0" text="" dxfId="9">
      <formula>"GUESS"</formula>
    </cfRule>
    <cfRule type="cellIs" priority="4" operator="equal" aboveAverage="0" equalAverage="0" bottom="0" percent="0" rank="0" text="" dxfId="0">
      <formula>"LOSS"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0"/>
    <col collapsed="false" customWidth="true" hidden="false" outlineLevel="0" max="8" min="8" style="0" width="16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621</v>
      </c>
    </row>
    <row r="2" customFormat="false" ht="15" hidden="false" customHeight="false" outlineLevel="0" collapsed="false">
      <c r="A2" s="2" t="s">
        <v>622</v>
      </c>
    </row>
    <row r="4" customFormat="false" ht="23.85" hidden="false" customHeight="false" outlineLevel="0" collapsed="false">
      <c r="A4" s="8" t="s">
        <v>623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624</v>
      </c>
      <c r="H4" s="8" t="s">
        <v>625</v>
      </c>
      <c r="I4" s="8" t="s">
        <v>626</v>
      </c>
    </row>
    <row r="5" customFormat="false" ht="15" hidden="false" customHeight="false" outlineLevel="0" collapsed="false">
      <c r="A5" s="4" t="s">
        <v>627</v>
      </c>
      <c r="B5" s="4" t="n">
        <f aca="false">COUNTIFS('Lineage Data'!$C$2:$C$2892,$A5,'Lineage Data'!$E$2:$E$2892,B$4)</f>
        <v>104</v>
      </c>
      <c r="C5" s="4" t="n">
        <f aca="false">COUNTIFS('Lineage Data'!$C$2:$C$2892,$A5,'Lineage Data'!$E$2:$E$2892,C$4)</f>
        <v>0</v>
      </c>
      <c r="D5" s="4" t="n">
        <f aca="false">COUNTIFS('Lineage Data'!$C$2:$C$2892,$A5,'Lineage Data'!$E$2:$E$2892,D$4)</f>
        <v>289</v>
      </c>
      <c r="E5" s="4" t="n">
        <f aca="false">COUNTIFS('Lineage Data'!$C$2:$C$2892,$A5,'Lineage Data'!$E$2:$E$2892,E$4)</f>
        <v>1</v>
      </c>
      <c r="F5" s="4" t="n">
        <f aca="false">COUNTIFS('Lineage Data'!$C$2:$C$2892,$A5,'Lineage Data'!$E$2:$E$2892,F$4)</f>
        <v>61</v>
      </c>
      <c r="G5" s="4" t="n">
        <f aca="false">SUM(B5:F5)</f>
        <v>455</v>
      </c>
      <c r="H5" s="9" t="n">
        <f aca="false">IF(G5=0,0,(B5+C5)/G5)</f>
        <v>0.228571428571429</v>
      </c>
      <c r="I5" s="9" t="n">
        <f aca="false">IF(G5=0,0,(D5+E5)/G5)</f>
        <v>0.637362637362637</v>
      </c>
    </row>
    <row r="6" customFormat="false" ht="15" hidden="false" customHeight="false" outlineLevel="0" collapsed="false">
      <c r="A6" s="4" t="s">
        <v>628</v>
      </c>
      <c r="B6" s="4" t="n">
        <f aca="false">COUNTIFS('Lineage Data'!$C$2:$C$2892,$A6,'Lineage Data'!$E$2:$E$2892,B$4)</f>
        <v>94</v>
      </c>
      <c r="C6" s="4" t="n">
        <f aca="false">COUNTIFS('Lineage Data'!$C$2:$C$2892,$A6,'Lineage Data'!$E$2:$E$2892,C$4)</f>
        <v>0</v>
      </c>
      <c r="D6" s="4" t="n">
        <f aca="false">COUNTIFS('Lineage Data'!$C$2:$C$2892,$A6,'Lineage Data'!$E$2:$E$2892,D$4)</f>
        <v>0</v>
      </c>
      <c r="E6" s="4" t="n">
        <f aca="false">COUNTIFS('Lineage Data'!$C$2:$C$2892,$A6,'Lineage Data'!$E$2:$E$2892,E$4)</f>
        <v>0</v>
      </c>
      <c r="F6" s="4" t="n">
        <f aca="false">COUNTIFS('Lineage Data'!$C$2:$C$2892,$A6,'Lineage Data'!$E$2:$E$2892,F$4)</f>
        <v>0</v>
      </c>
      <c r="G6" s="4" t="n">
        <f aca="false">SUM(B6:F6)</f>
        <v>94</v>
      </c>
      <c r="H6" s="9" t="n">
        <f aca="false">IF(G6=0,0,(B6+C6)/G6)</f>
        <v>1</v>
      </c>
      <c r="I6" s="9" t="n">
        <f aca="false">IF(G6=0,0,(D6+E6)/G6)</f>
        <v>0</v>
      </c>
    </row>
    <row r="7" customFormat="false" ht="15" hidden="false" customHeight="false" outlineLevel="0" collapsed="false">
      <c r="A7" s="4" t="s">
        <v>629</v>
      </c>
      <c r="B7" s="4" t="n">
        <f aca="false">COUNTIFS('Lineage Data'!$C$2:$C$2892,$A7,'Lineage Data'!$E$2:$E$2892,B$4)</f>
        <v>31</v>
      </c>
      <c r="C7" s="4" t="n">
        <f aca="false">COUNTIFS('Lineage Data'!$C$2:$C$2892,$A7,'Lineage Data'!$E$2:$E$2892,C$4)</f>
        <v>0</v>
      </c>
      <c r="D7" s="4" t="n">
        <f aca="false">COUNTIFS('Lineage Data'!$C$2:$C$2892,$A7,'Lineage Data'!$E$2:$E$2892,D$4)</f>
        <v>0</v>
      </c>
      <c r="E7" s="4" t="n">
        <f aca="false">COUNTIFS('Lineage Data'!$C$2:$C$2892,$A7,'Lineage Data'!$E$2:$E$2892,E$4)</f>
        <v>63</v>
      </c>
      <c r="F7" s="4" t="n">
        <f aca="false">COUNTIFS('Lineage Data'!$C$2:$C$2892,$A7,'Lineage Data'!$E$2:$E$2892,F$4)</f>
        <v>0</v>
      </c>
      <c r="G7" s="4" t="n">
        <f aca="false">SUM(B7:F7)</f>
        <v>94</v>
      </c>
      <c r="H7" s="9" t="n">
        <f aca="false">IF(G7=0,0,(B7+C7)/G7)</f>
        <v>0.329787234042553</v>
      </c>
      <c r="I7" s="9" t="n">
        <f aca="false">IF(G7=0,0,(D7+E7)/G7)</f>
        <v>0.670212765957447</v>
      </c>
    </row>
    <row r="8" customFormat="false" ht="15" hidden="false" customHeight="false" outlineLevel="0" collapsed="false">
      <c r="A8" s="4" t="s">
        <v>630</v>
      </c>
      <c r="B8" s="4" t="n">
        <f aca="false">COUNTIFS('Lineage Data'!$C$2:$C$2892,$A8,'Lineage Data'!$E$2:$E$2892,B$4)</f>
        <v>0</v>
      </c>
      <c r="C8" s="4" t="n">
        <f aca="false">COUNTIFS('Lineage Data'!$C$2:$C$2892,$A8,'Lineage Data'!$E$2:$E$2892,C$4)</f>
        <v>94</v>
      </c>
      <c r="D8" s="4" t="n">
        <f aca="false">COUNTIFS('Lineage Data'!$C$2:$C$2892,$A8,'Lineage Data'!$E$2:$E$2892,D$4)</f>
        <v>0</v>
      </c>
      <c r="E8" s="4" t="n">
        <f aca="false">COUNTIFS('Lineage Data'!$C$2:$C$2892,$A8,'Lineage Data'!$E$2:$E$2892,E$4)</f>
        <v>0</v>
      </c>
      <c r="F8" s="4" t="n">
        <f aca="false">COUNTIFS('Lineage Data'!$C$2:$C$2892,$A8,'Lineage Data'!$E$2:$E$2892,F$4)</f>
        <v>0</v>
      </c>
      <c r="G8" s="4" t="n">
        <f aca="false">SUM(B8:F8)</f>
        <v>94</v>
      </c>
      <c r="H8" s="9" t="n">
        <f aca="false">IF(G8=0,0,(B8+C8)/G8)</f>
        <v>1</v>
      </c>
      <c r="I8" s="9" t="n">
        <f aca="false">IF(G8=0,0,(D8+E8)/G8)</f>
        <v>0</v>
      </c>
    </row>
    <row r="9" customFormat="false" ht="15" hidden="false" customHeight="false" outlineLevel="0" collapsed="false">
      <c r="A9" s="4" t="s">
        <v>631</v>
      </c>
      <c r="B9" s="4" t="n">
        <f aca="false">COUNTIFS('Lineage Data'!$C$2:$C$2892,$A9,'Lineage Data'!$E$2:$E$2892,B$4)</f>
        <v>23</v>
      </c>
      <c r="C9" s="4" t="n">
        <f aca="false">COUNTIFS('Lineage Data'!$C$2:$C$2892,$A9,'Lineage Data'!$E$2:$E$2892,C$4)</f>
        <v>0</v>
      </c>
      <c r="D9" s="4" t="n">
        <f aca="false">COUNTIFS('Lineage Data'!$C$2:$C$2892,$A9,'Lineage Data'!$E$2:$E$2892,D$4)</f>
        <v>0</v>
      </c>
      <c r="E9" s="4" t="n">
        <f aca="false">COUNTIFS('Lineage Data'!$C$2:$C$2892,$A9,'Lineage Data'!$E$2:$E$2892,E$4)</f>
        <v>23</v>
      </c>
      <c r="F9" s="4" t="n">
        <f aca="false">COUNTIFS('Lineage Data'!$C$2:$C$2892,$A9,'Lineage Data'!$E$2:$E$2892,F$4)</f>
        <v>0</v>
      </c>
      <c r="G9" s="4" t="n">
        <f aca="false">SUM(B9:F9)</f>
        <v>46</v>
      </c>
      <c r="H9" s="9" t="n">
        <f aca="false">IF(G9=0,0,(B9+C9)/G9)</f>
        <v>0.5</v>
      </c>
      <c r="I9" s="9" t="n">
        <f aca="false">IF(G9=0,0,(D9+E9)/G9)</f>
        <v>0.5</v>
      </c>
    </row>
    <row r="10" customFormat="false" ht="15" hidden="false" customHeight="false" outlineLevel="0" collapsed="false">
      <c r="A10" s="4" t="s">
        <v>632</v>
      </c>
      <c r="B10" s="4" t="n">
        <f aca="false">COUNTIFS('Lineage Data'!$C$2:$C$2892,$A10,'Lineage Data'!$E$2:$E$2892,B$4)</f>
        <v>108</v>
      </c>
      <c r="C10" s="4" t="n">
        <f aca="false">COUNTIFS('Lineage Data'!$C$2:$C$2892,$A10,'Lineage Data'!$E$2:$E$2892,C$4)</f>
        <v>0</v>
      </c>
      <c r="D10" s="4" t="n">
        <f aca="false">COUNTIFS('Lineage Data'!$C$2:$C$2892,$A10,'Lineage Data'!$E$2:$E$2892,D$4)</f>
        <v>318</v>
      </c>
      <c r="E10" s="4" t="n">
        <f aca="false">COUNTIFS('Lineage Data'!$C$2:$C$2892,$A10,'Lineage Data'!$E$2:$E$2892,E$4)</f>
        <v>2</v>
      </c>
      <c r="F10" s="4" t="n">
        <f aca="false">COUNTIFS('Lineage Data'!$C$2:$C$2892,$A10,'Lineage Data'!$E$2:$E$2892,F$4)</f>
        <v>52</v>
      </c>
      <c r="G10" s="4" t="n">
        <f aca="false">SUM(B10:F10)</f>
        <v>480</v>
      </c>
      <c r="H10" s="9" t="n">
        <f aca="false">IF(G10=0,0,(B10+C10)/G10)</f>
        <v>0.225</v>
      </c>
      <c r="I10" s="9" t="n">
        <f aca="false">IF(G10=0,0,(D10+E10)/G10)</f>
        <v>0.666666666666667</v>
      </c>
    </row>
    <row r="11" customFormat="false" ht="15" hidden="false" customHeight="false" outlineLevel="0" collapsed="false">
      <c r="A11" s="4" t="s">
        <v>633</v>
      </c>
      <c r="B11" s="4" t="n">
        <f aca="false">COUNTIFS('Lineage Data'!$C$2:$C$2892,$A11,'Lineage Data'!$E$2:$E$2892,B$4)</f>
        <v>94</v>
      </c>
      <c r="C11" s="4" t="n">
        <f aca="false">COUNTIFS('Lineage Data'!$C$2:$C$2892,$A11,'Lineage Data'!$E$2:$E$2892,C$4)</f>
        <v>0</v>
      </c>
      <c r="D11" s="4" t="n">
        <f aca="false">COUNTIFS('Lineage Data'!$C$2:$C$2892,$A11,'Lineage Data'!$E$2:$E$2892,D$4)</f>
        <v>0</v>
      </c>
      <c r="E11" s="4" t="n">
        <f aca="false">COUNTIFS('Lineage Data'!$C$2:$C$2892,$A11,'Lineage Data'!$E$2:$E$2892,E$4)</f>
        <v>0</v>
      </c>
      <c r="F11" s="4" t="n">
        <f aca="false">COUNTIFS('Lineage Data'!$C$2:$C$2892,$A11,'Lineage Data'!$E$2:$E$2892,F$4)</f>
        <v>0</v>
      </c>
      <c r="G11" s="4" t="n">
        <f aca="false">SUM(B11:F11)</f>
        <v>94</v>
      </c>
      <c r="H11" s="9" t="n">
        <f aca="false">IF(G11=0,0,(B11+C11)/G11)</f>
        <v>1</v>
      </c>
      <c r="I11" s="9" t="n">
        <f aca="false">IF(G11=0,0,(D11+E11)/G11)</f>
        <v>0</v>
      </c>
    </row>
    <row r="12" customFormat="false" ht="15" hidden="false" customHeight="false" outlineLevel="0" collapsed="false">
      <c r="A12" s="4" t="s">
        <v>634</v>
      </c>
      <c r="B12" s="4" t="n">
        <f aca="false">COUNTIFS('Lineage Data'!$C$2:$C$2892,$A12,'Lineage Data'!$E$2:$E$2892,B$4)</f>
        <v>53</v>
      </c>
      <c r="C12" s="4" t="n">
        <f aca="false">COUNTIFS('Lineage Data'!$C$2:$C$2892,$A12,'Lineage Data'!$E$2:$E$2892,C$4)</f>
        <v>0</v>
      </c>
      <c r="D12" s="4" t="n">
        <f aca="false">COUNTIFS('Lineage Data'!$C$2:$C$2892,$A12,'Lineage Data'!$E$2:$E$2892,D$4)</f>
        <v>0</v>
      </c>
      <c r="E12" s="4" t="n">
        <f aca="false">COUNTIFS('Lineage Data'!$C$2:$C$2892,$A12,'Lineage Data'!$E$2:$E$2892,E$4)</f>
        <v>41</v>
      </c>
      <c r="F12" s="4" t="n">
        <f aca="false">COUNTIFS('Lineage Data'!$C$2:$C$2892,$A12,'Lineage Data'!$E$2:$E$2892,F$4)</f>
        <v>0</v>
      </c>
      <c r="G12" s="4" t="n">
        <f aca="false">SUM(B12:F12)</f>
        <v>94</v>
      </c>
      <c r="H12" s="9" t="n">
        <f aca="false">IF(G12=0,0,(B12+C12)/G12)</f>
        <v>0.563829787234043</v>
      </c>
      <c r="I12" s="9" t="n">
        <f aca="false">IF(G12=0,0,(D12+E12)/G12)</f>
        <v>0.436170212765957</v>
      </c>
    </row>
    <row r="13" customFormat="false" ht="15" hidden="false" customHeight="false" outlineLevel="0" collapsed="false">
      <c r="A13" s="4" t="s">
        <v>635</v>
      </c>
      <c r="B13" s="4" t="n">
        <f aca="false">COUNTIFS('Lineage Data'!$C$2:$C$2892,$A13,'Lineage Data'!$E$2:$E$2892,B$4)</f>
        <v>101</v>
      </c>
      <c r="C13" s="4" t="n">
        <f aca="false">COUNTIFS('Lineage Data'!$C$2:$C$2892,$A13,'Lineage Data'!$E$2:$E$2892,C$4)</f>
        <v>0</v>
      </c>
      <c r="D13" s="4" t="n">
        <f aca="false">COUNTIFS('Lineage Data'!$C$2:$C$2892,$A13,'Lineage Data'!$E$2:$E$2892,D$4)</f>
        <v>0</v>
      </c>
      <c r="E13" s="4" t="n">
        <f aca="false">COUNTIFS('Lineage Data'!$C$2:$C$2892,$A13,'Lineage Data'!$E$2:$E$2892,E$4)</f>
        <v>282</v>
      </c>
      <c r="F13" s="4" t="n">
        <f aca="false">COUNTIFS('Lineage Data'!$C$2:$C$2892,$A13,'Lineage Data'!$E$2:$E$2892,F$4)</f>
        <v>0</v>
      </c>
      <c r="G13" s="4" t="n">
        <f aca="false">SUM(B13:F13)</f>
        <v>383</v>
      </c>
      <c r="H13" s="9" t="n">
        <f aca="false">IF(G13=0,0,(B13+C13)/G13)</f>
        <v>0.263707571801567</v>
      </c>
      <c r="I13" s="9" t="n">
        <f aca="false">IF(G13=0,0,(D13+E13)/G13)</f>
        <v>0.736292428198433</v>
      </c>
    </row>
    <row r="14" customFormat="false" ht="15" hidden="false" customHeight="false" outlineLevel="0" collapsed="false">
      <c r="A14" s="4" t="s">
        <v>636</v>
      </c>
      <c r="B14" s="4" t="n">
        <f aca="false">COUNTIFS('Lineage Data'!$C$2:$C$2892,$A14,'Lineage Data'!$E$2:$E$2892,B$4)</f>
        <v>94</v>
      </c>
      <c r="C14" s="4" t="n">
        <f aca="false">COUNTIFS('Lineage Data'!$C$2:$C$2892,$A14,'Lineage Data'!$E$2:$E$2892,C$4)</f>
        <v>0</v>
      </c>
      <c r="D14" s="4" t="n">
        <f aca="false">COUNTIFS('Lineage Data'!$C$2:$C$2892,$A14,'Lineage Data'!$E$2:$E$2892,D$4)</f>
        <v>0</v>
      </c>
      <c r="E14" s="4" t="n">
        <f aca="false">COUNTIFS('Lineage Data'!$C$2:$C$2892,$A14,'Lineage Data'!$E$2:$E$2892,E$4)</f>
        <v>0</v>
      </c>
      <c r="F14" s="4" t="n">
        <f aca="false">COUNTIFS('Lineage Data'!$C$2:$C$2892,$A14,'Lineage Data'!$E$2:$E$2892,F$4)</f>
        <v>0</v>
      </c>
      <c r="G14" s="4" t="n">
        <f aca="false">SUM(B14:F14)</f>
        <v>94</v>
      </c>
      <c r="H14" s="9" t="n">
        <f aca="false">IF(G14=0,0,(B14+C14)/G14)</f>
        <v>1</v>
      </c>
      <c r="I14" s="9" t="n">
        <f aca="false">IF(G14=0,0,(D14+E14)/G14)</f>
        <v>0</v>
      </c>
    </row>
    <row r="15" customFormat="false" ht="15" hidden="false" customHeight="false" outlineLevel="0" collapsed="false">
      <c r="A15" s="4" t="s">
        <v>637</v>
      </c>
      <c r="B15" s="4" t="n">
        <f aca="false">COUNTIFS('Lineage Data'!$C$2:$C$2892,$A15,'Lineage Data'!$E$2:$E$2892,B$4)</f>
        <v>16</v>
      </c>
      <c r="C15" s="4" t="n">
        <f aca="false">COUNTIFS('Lineage Data'!$C$2:$C$2892,$A15,'Lineage Data'!$E$2:$E$2892,C$4)</f>
        <v>0</v>
      </c>
      <c r="D15" s="4" t="n">
        <f aca="false">COUNTIFS('Lineage Data'!$C$2:$C$2892,$A15,'Lineage Data'!$E$2:$E$2892,D$4)</f>
        <v>0</v>
      </c>
      <c r="E15" s="4" t="n">
        <f aca="false">COUNTIFS('Lineage Data'!$C$2:$C$2892,$A15,'Lineage Data'!$E$2:$E$2892,E$4)</f>
        <v>0</v>
      </c>
      <c r="F15" s="4" t="n">
        <f aca="false">COUNTIFS('Lineage Data'!$C$2:$C$2892,$A15,'Lineage Data'!$E$2:$E$2892,F$4)</f>
        <v>0</v>
      </c>
      <c r="G15" s="4" t="n">
        <f aca="false">SUM(B15:F15)</f>
        <v>16</v>
      </c>
      <c r="H15" s="9" t="n">
        <f aca="false">IF(G15=0,0,(B15+C15)/G15)</f>
        <v>1</v>
      </c>
      <c r="I15" s="9" t="n">
        <f aca="false">IF(G15=0,0,(D15+E15)/G15)</f>
        <v>0</v>
      </c>
    </row>
    <row r="16" customFormat="false" ht="15" hidden="false" customHeight="false" outlineLevel="0" collapsed="false">
      <c r="A16" s="4" t="s">
        <v>638</v>
      </c>
      <c r="B16" s="4" t="n">
        <f aca="false">COUNTIFS('Lineage Data'!$C$2:$C$2892,$A16,'Lineage Data'!$E$2:$E$2892,B$4)</f>
        <v>94</v>
      </c>
      <c r="C16" s="4" t="n">
        <f aca="false">COUNTIFS('Lineage Data'!$C$2:$C$2892,$A16,'Lineage Data'!$E$2:$E$2892,C$4)</f>
        <v>0</v>
      </c>
      <c r="D16" s="4" t="n">
        <f aca="false">COUNTIFS('Lineage Data'!$C$2:$C$2892,$A16,'Lineage Data'!$E$2:$E$2892,D$4)</f>
        <v>0</v>
      </c>
      <c r="E16" s="4" t="n">
        <f aca="false">COUNTIFS('Lineage Data'!$C$2:$C$2892,$A16,'Lineage Data'!$E$2:$E$2892,E$4)</f>
        <v>0</v>
      </c>
      <c r="F16" s="4" t="n">
        <f aca="false">COUNTIFS('Lineage Data'!$C$2:$C$2892,$A16,'Lineage Data'!$E$2:$E$2892,F$4)</f>
        <v>0</v>
      </c>
      <c r="G16" s="4" t="n">
        <f aca="false">SUM(B16:F16)</f>
        <v>94</v>
      </c>
      <c r="H16" s="9" t="n">
        <f aca="false">IF(G16=0,0,(B16+C16)/G16)</f>
        <v>1</v>
      </c>
      <c r="I16" s="9" t="n">
        <f aca="false">IF(G16=0,0,(D16+E16)/G16)</f>
        <v>0</v>
      </c>
    </row>
    <row r="17" customFormat="false" ht="15" hidden="false" customHeight="false" outlineLevel="0" collapsed="false">
      <c r="A17" s="4" t="s">
        <v>639</v>
      </c>
      <c r="B17" s="4" t="n">
        <f aca="false">COUNTIFS('Lineage Data'!$C$2:$C$2892,$A17,'Lineage Data'!$E$2:$E$2892,B$4)</f>
        <v>0</v>
      </c>
      <c r="C17" s="4" t="n">
        <f aca="false">COUNTIFS('Lineage Data'!$C$2:$C$2892,$A17,'Lineage Data'!$E$2:$E$2892,C$4)</f>
        <v>0</v>
      </c>
      <c r="D17" s="4" t="n">
        <f aca="false">COUNTIFS('Lineage Data'!$C$2:$C$2892,$A17,'Lineage Data'!$E$2:$E$2892,D$4)</f>
        <v>0</v>
      </c>
      <c r="E17" s="4" t="n">
        <f aca="false">COUNTIFS('Lineage Data'!$C$2:$C$2892,$A17,'Lineage Data'!$E$2:$E$2892,E$4)</f>
        <v>0</v>
      </c>
      <c r="F17" s="4" t="n">
        <f aca="false">COUNTIFS('Lineage Data'!$C$2:$C$2892,$A17,'Lineage Data'!$E$2:$E$2892,F$4)</f>
        <v>40</v>
      </c>
      <c r="G17" s="4" t="n">
        <f aca="false">SUM(B17:F17)</f>
        <v>40</v>
      </c>
      <c r="H17" s="9" t="n">
        <f aca="false">IF(G17=0,0,(B17+C17)/G17)</f>
        <v>0</v>
      </c>
      <c r="I17" s="9" t="n">
        <f aca="false">IF(G17=0,0,(D17+E17)/G17)</f>
        <v>0</v>
      </c>
    </row>
    <row r="18" customFormat="false" ht="15" hidden="false" customHeight="false" outlineLevel="0" collapsed="false">
      <c r="A18" s="4" t="s">
        <v>640</v>
      </c>
      <c r="B18" s="4" t="n">
        <f aca="false">COUNTIFS('Lineage Data'!$C$2:$C$2892,$A18,'Lineage Data'!$E$2:$E$2892,B$4)</f>
        <v>94</v>
      </c>
      <c r="C18" s="4" t="n">
        <f aca="false">COUNTIFS('Lineage Data'!$C$2:$C$2892,$A18,'Lineage Data'!$E$2:$E$2892,C$4)</f>
        <v>0</v>
      </c>
      <c r="D18" s="4" t="n">
        <f aca="false">COUNTIFS('Lineage Data'!$C$2:$C$2892,$A18,'Lineage Data'!$E$2:$E$2892,D$4)</f>
        <v>0</v>
      </c>
      <c r="E18" s="4" t="n">
        <f aca="false">COUNTIFS('Lineage Data'!$C$2:$C$2892,$A18,'Lineage Data'!$E$2:$E$2892,E$4)</f>
        <v>0</v>
      </c>
      <c r="F18" s="4" t="n">
        <f aca="false">COUNTIFS('Lineage Data'!$C$2:$C$2892,$A18,'Lineage Data'!$E$2:$E$2892,F$4)</f>
        <v>0</v>
      </c>
      <c r="G18" s="4" t="n">
        <f aca="false">SUM(B18:F18)</f>
        <v>94</v>
      </c>
      <c r="H18" s="9" t="n">
        <f aca="false">IF(G18=0,0,(B18+C18)/G18)</f>
        <v>1</v>
      </c>
      <c r="I18" s="9" t="n">
        <f aca="false">IF(G18=0,0,(D18+E18)/G18)</f>
        <v>0</v>
      </c>
    </row>
    <row r="19" customFormat="false" ht="15" hidden="false" customHeight="false" outlineLevel="0" collapsed="false">
      <c r="A19" s="4" t="s">
        <v>641</v>
      </c>
      <c r="B19" s="4" t="n">
        <f aca="false">COUNTIFS('Lineage Data'!$C$2:$C$2892,$A19,'Lineage Data'!$E$2:$E$2892,B$4)</f>
        <v>94</v>
      </c>
      <c r="C19" s="4" t="n">
        <f aca="false">COUNTIFS('Lineage Data'!$C$2:$C$2892,$A19,'Lineage Data'!$E$2:$E$2892,C$4)</f>
        <v>0</v>
      </c>
      <c r="D19" s="4" t="n">
        <f aca="false">COUNTIFS('Lineage Data'!$C$2:$C$2892,$A19,'Lineage Data'!$E$2:$E$2892,D$4)</f>
        <v>0</v>
      </c>
      <c r="E19" s="4" t="n">
        <f aca="false">COUNTIFS('Lineage Data'!$C$2:$C$2892,$A19,'Lineage Data'!$E$2:$E$2892,E$4)</f>
        <v>0</v>
      </c>
      <c r="F19" s="4" t="n">
        <f aca="false">COUNTIFS('Lineage Data'!$C$2:$C$2892,$A19,'Lineage Data'!$E$2:$E$2892,F$4)</f>
        <v>0</v>
      </c>
      <c r="G19" s="4" t="n">
        <f aca="false">SUM(B19:F19)</f>
        <v>94</v>
      </c>
      <c r="H19" s="9" t="n">
        <f aca="false">IF(G19=0,0,(B19+C19)/G19)</f>
        <v>1</v>
      </c>
      <c r="I19" s="9" t="n">
        <f aca="false">IF(G19=0,0,(D19+E19)/G19)</f>
        <v>0</v>
      </c>
    </row>
    <row r="20" customFormat="false" ht="15" hidden="false" customHeight="false" outlineLevel="0" collapsed="false">
      <c r="A20" s="4" t="s">
        <v>558</v>
      </c>
      <c r="B20" s="4" t="n">
        <f aca="false">COUNTIFS('Lineage Data'!$C$2:$C$2892,$A20,'Lineage Data'!$E$2:$E$2892,B$4)</f>
        <v>11</v>
      </c>
      <c r="C20" s="4" t="n">
        <f aca="false">COUNTIFS('Lineage Data'!$C$2:$C$2892,$A20,'Lineage Data'!$E$2:$E$2892,C$4)</f>
        <v>0</v>
      </c>
      <c r="D20" s="4" t="n">
        <f aca="false">COUNTIFS('Lineage Data'!$C$2:$C$2892,$A20,'Lineage Data'!$E$2:$E$2892,D$4)</f>
        <v>0</v>
      </c>
      <c r="E20" s="4" t="n">
        <f aca="false">COUNTIFS('Lineage Data'!$C$2:$C$2892,$A20,'Lineage Data'!$E$2:$E$2892,E$4)</f>
        <v>0</v>
      </c>
      <c r="F20" s="4" t="n">
        <f aca="false">COUNTIFS('Lineage Data'!$C$2:$C$2892,$A20,'Lineage Data'!$E$2:$E$2892,F$4)</f>
        <v>0</v>
      </c>
      <c r="G20" s="4" t="n">
        <f aca="false">SUM(B20:F20)</f>
        <v>11</v>
      </c>
      <c r="H20" s="9" t="n">
        <f aca="false">IF(G20=0,0,(B20+C20)/G20)</f>
        <v>1</v>
      </c>
      <c r="I20" s="9" t="n">
        <f aca="false">IF(G20=0,0,(D20+E20)/G20)</f>
        <v>0</v>
      </c>
    </row>
    <row r="21" customFormat="false" ht="15" hidden="false" customHeight="false" outlineLevel="0" collapsed="false">
      <c r="A21" s="4" t="s">
        <v>642</v>
      </c>
      <c r="B21" s="4" t="n">
        <f aca="false">COUNTIFS('Lineage Data'!$C$2:$C$2892,$A21,'Lineage Data'!$E$2:$E$2892,B$4)</f>
        <v>259</v>
      </c>
      <c r="C21" s="4" t="n">
        <f aca="false">COUNTIFS('Lineage Data'!$C$2:$C$2892,$A21,'Lineage Data'!$E$2:$E$2892,C$4)</f>
        <v>12</v>
      </c>
      <c r="D21" s="4" t="n">
        <f aca="false">COUNTIFS('Lineage Data'!$C$2:$C$2892,$A21,'Lineage Data'!$E$2:$E$2892,D$4)</f>
        <v>0</v>
      </c>
      <c r="E21" s="4" t="n">
        <f aca="false">COUNTIFS('Lineage Data'!$C$2:$C$2892,$A21,'Lineage Data'!$E$2:$E$2892,E$4)</f>
        <v>105</v>
      </c>
      <c r="F21" s="4" t="n">
        <f aca="false">COUNTIFS('Lineage Data'!$C$2:$C$2892,$A21,'Lineage Data'!$E$2:$E$2892,F$4)</f>
        <v>0</v>
      </c>
      <c r="G21" s="4" t="n">
        <f aca="false">SUM(B21:F21)</f>
        <v>376</v>
      </c>
      <c r="H21" s="9" t="n">
        <f aca="false">IF(G21=0,0,(B21+C21)/G21)</f>
        <v>0.720744680851064</v>
      </c>
      <c r="I21" s="9" t="n">
        <f aca="false">IF(G21=0,0,(D21+E21)/G21)</f>
        <v>0.279255319148936</v>
      </c>
    </row>
    <row r="22" customFormat="false" ht="15" hidden="false" customHeight="false" outlineLevel="0" collapsed="false">
      <c r="A22" s="4" t="s">
        <v>643</v>
      </c>
      <c r="B22" s="4" t="n">
        <f aca="false">COUNTIFS('Lineage Data'!$C$2:$C$2892,$A22,'Lineage Data'!$E$2:$E$2892,B$4)</f>
        <v>0</v>
      </c>
      <c r="C22" s="4" t="n">
        <f aca="false">COUNTIFS('Lineage Data'!$C$2:$C$2892,$A22,'Lineage Data'!$E$2:$E$2892,C$4)</f>
        <v>27</v>
      </c>
      <c r="D22" s="4" t="n">
        <f aca="false">COUNTIFS('Lineage Data'!$C$2:$C$2892,$A22,'Lineage Data'!$E$2:$E$2892,D$4)</f>
        <v>0</v>
      </c>
      <c r="E22" s="4" t="n">
        <f aca="false">COUNTIFS('Lineage Data'!$C$2:$C$2892,$A22,'Lineage Data'!$E$2:$E$2892,E$4)</f>
        <v>0</v>
      </c>
      <c r="F22" s="4" t="n">
        <f aca="false">COUNTIFS('Lineage Data'!$C$2:$C$2892,$A22,'Lineage Data'!$E$2:$E$2892,F$4)</f>
        <v>0</v>
      </c>
      <c r="G22" s="4" t="n">
        <f aca="false">SUM(B22:F22)</f>
        <v>27</v>
      </c>
      <c r="H22" s="9" t="n">
        <f aca="false">IF(G22=0,0,(B22+C22)/G22)</f>
        <v>1</v>
      </c>
      <c r="I22" s="9" t="n">
        <f aca="false">IF(G22=0,0,(D22+E22)/G22)</f>
        <v>0</v>
      </c>
    </row>
    <row r="23" customFormat="false" ht="15" hidden="false" customHeight="false" outlineLevel="0" collapsed="false">
      <c r="A23" s="4" t="s">
        <v>644</v>
      </c>
      <c r="B23" s="4" t="n">
        <f aca="false">COUNTIFS('Lineage Data'!$C$2:$C$2892,$A23,'Lineage Data'!$E$2:$E$2892,B$4)</f>
        <v>0</v>
      </c>
      <c r="C23" s="4" t="n">
        <f aca="false">COUNTIFS('Lineage Data'!$C$2:$C$2892,$A23,'Lineage Data'!$E$2:$E$2892,C$4)</f>
        <v>0</v>
      </c>
      <c r="D23" s="4" t="n">
        <f aca="false">COUNTIFS('Lineage Data'!$C$2:$C$2892,$A23,'Lineage Data'!$E$2:$E$2892,D$4)</f>
        <v>0</v>
      </c>
      <c r="E23" s="4" t="n">
        <f aca="false">COUNTIFS('Lineage Data'!$C$2:$C$2892,$A23,'Lineage Data'!$E$2:$E$2892,E$4)</f>
        <v>0</v>
      </c>
      <c r="F23" s="4" t="n">
        <f aca="false">COUNTIFS('Lineage Data'!$C$2:$C$2892,$A23,'Lineage Data'!$E$2:$E$2892,F$4)</f>
        <v>18</v>
      </c>
      <c r="G23" s="4" t="n">
        <f aca="false">SUM(B23:F23)</f>
        <v>18</v>
      </c>
      <c r="H23" s="9" t="n">
        <f aca="false">IF(G23=0,0,(B23+C23)/G23)</f>
        <v>0</v>
      </c>
      <c r="I23" s="9" t="n">
        <f aca="false">IF(G23=0,0,(D23+E23)/G23)</f>
        <v>0</v>
      </c>
    </row>
    <row r="24" customFormat="false" ht="15" hidden="false" customHeight="false" outlineLevel="0" collapsed="false">
      <c r="A24" s="4" t="s">
        <v>645</v>
      </c>
      <c r="B24" s="4" t="n">
        <f aca="false">COUNTIFS('Lineage Data'!$C$2:$C$2892,$A24,'Lineage Data'!$E$2:$E$2892,B$4)</f>
        <v>0</v>
      </c>
      <c r="C24" s="4" t="n">
        <f aca="false">COUNTIFS('Lineage Data'!$C$2:$C$2892,$A24,'Lineage Data'!$E$2:$E$2892,C$4)</f>
        <v>85</v>
      </c>
      <c r="D24" s="4" t="n">
        <f aca="false">COUNTIFS('Lineage Data'!$C$2:$C$2892,$A24,'Lineage Data'!$E$2:$E$2892,D$4)</f>
        <v>0</v>
      </c>
      <c r="E24" s="4" t="n">
        <f aca="false">COUNTIFS('Lineage Data'!$C$2:$C$2892,$A24,'Lineage Data'!$E$2:$E$2892,E$4)</f>
        <v>0</v>
      </c>
      <c r="F24" s="4" t="n">
        <f aca="false">COUNTIFS('Lineage Data'!$C$2:$C$2892,$A24,'Lineage Data'!$E$2:$E$2892,F$4)</f>
        <v>94</v>
      </c>
      <c r="G24" s="4" t="n">
        <f aca="false">SUM(B24:F24)</f>
        <v>179</v>
      </c>
      <c r="H24" s="9" t="n">
        <f aca="false">IF(G24=0,0,(B24+C24)/G24)</f>
        <v>0.474860335195531</v>
      </c>
      <c r="I24" s="9" t="n">
        <f aca="false">IF(G24=0,0,(D24+E24)/G24)</f>
        <v>0</v>
      </c>
    </row>
    <row r="25" customFormat="false" ht="15" hidden="false" customHeight="false" outlineLevel="0" collapsed="false">
      <c r="A25" s="4" t="s">
        <v>512</v>
      </c>
      <c r="B25" s="4" t="n">
        <f aca="false">COUNTIFS('Lineage Data'!$C$2:$C$2892,$A25,'Lineage Data'!$E$2:$E$2892,B$4)</f>
        <v>14</v>
      </c>
      <c r="C25" s="4" t="n">
        <f aca="false">COUNTIFS('Lineage Data'!$C$2:$C$2892,$A25,'Lineage Data'!$E$2:$E$2892,C$4)</f>
        <v>0</v>
      </c>
      <c r="D25" s="4" t="n">
        <f aca="false">COUNTIFS('Lineage Data'!$C$2:$C$2892,$A25,'Lineage Data'!$E$2:$E$2892,D$4)</f>
        <v>0</v>
      </c>
      <c r="E25" s="4" t="n">
        <f aca="false">COUNTIFS('Lineage Data'!$C$2:$C$2892,$A25,'Lineage Data'!$E$2:$E$2892,E$4)</f>
        <v>0</v>
      </c>
      <c r="F25" s="4" t="n">
        <f aca="false">COUNTIFS('Lineage Data'!$C$2:$C$2892,$A25,'Lineage Data'!$E$2:$E$2892,F$4)</f>
        <v>0</v>
      </c>
      <c r="G25" s="4" t="n">
        <f aca="false">SUM(B25:F25)</f>
        <v>14</v>
      </c>
      <c r="H25" s="9" t="n">
        <f aca="false">IF(G25=0,0,(B25+C25)/G25)</f>
        <v>1</v>
      </c>
      <c r="I25" s="9" t="n">
        <f aca="false">IF(G25=0,0,(D25+E25)/G25)</f>
        <v>0</v>
      </c>
    </row>
    <row r="26" customFormat="false" ht="15" hidden="false" customHeight="false" outlineLevel="0" collapsed="false">
      <c r="A26" s="23" t="s">
        <v>430</v>
      </c>
      <c r="B26" s="23" t="n">
        <f aca="false">SUM(B5:B25)</f>
        <v>1284</v>
      </c>
      <c r="C26" s="23" t="n">
        <f aca="false">SUM(C5:C25)</f>
        <v>218</v>
      </c>
      <c r="D26" s="23" t="n">
        <f aca="false">SUM(D5:D25)</f>
        <v>607</v>
      </c>
      <c r="E26" s="23" t="n">
        <f aca="false">SUM(E5:E25)</f>
        <v>517</v>
      </c>
      <c r="F26" s="23" t="n">
        <f aca="false">SUM(F5:F25)</f>
        <v>265</v>
      </c>
      <c r="G26" s="23" t="n">
        <f aca="false">SUM(G5:G25)</f>
        <v>2891</v>
      </c>
      <c r="H26" s="28" t="n">
        <f aca="false">IF(G26=0,0,(B26+C26)/G26)</f>
        <v>0.519543410584573</v>
      </c>
      <c r="I26" s="28" t="n">
        <f aca="false">IF(G26=0,0,(D26+E26)/G26)</f>
        <v>0.388792805257696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8" t="s">
        <v>155</v>
      </c>
      <c r="B1" s="8" t="s">
        <v>646</v>
      </c>
      <c r="C1" s="8" t="s">
        <v>647</v>
      </c>
      <c r="D1" s="8" t="s">
        <v>648</v>
      </c>
      <c r="E1" s="8" t="s">
        <v>482</v>
      </c>
    </row>
    <row r="2" customFormat="false" ht="15" hidden="false" customHeight="false" outlineLevel="0" collapsed="false">
      <c r="A2" s="2" t="s">
        <v>172</v>
      </c>
      <c r="B2" s="2" t="s">
        <v>649</v>
      </c>
      <c r="C2" s="2" t="s">
        <v>635</v>
      </c>
      <c r="D2" s="2" t="s">
        <v>487</v>
      </c>
      <c r="E2" s="2" t="s">
        <v>166</v>
      </c>
    </row>
    <row r="3" customFormat="false" ht="15" hidden="false" customHeight="false" outlineLevel="0" collapsed="false">
      <c r="A3" s="2" t="s">
        <v>172</v>
      </c>
      <c r="B3" s="2" t="s">
        <v>650</v>
      </c>
      <c r="C3" s="2" t="s">
        <v>635</v>
      </c>
      <c r="D3" s="2" t="s">
        <v>651</v>
      </c>
      <c r="E3" s="2" t="s">
        <v>169</v>
      </c>
    </row>
    <row r="4" customFormat="false" ht="15" hidden="false" customHeight="false" outlineLevel="0" collapsed="false">
      <c r="A4" s="2" t="s">
        <v>172</v>
      </c>
      <c r="B4" s="2" t="s">
        <v>652</v>
      </c>
      <c r="C4" s="2" t="s">
        <v>635</v>
      </c>
      <c r="D4" s="2" t="s">
        <v>653</v>
      </c>
      <c r="E4" s="2" t="s">
        <v>169</v>
      </c>
    </row>
    <row r="5" customFormat="false" ht="15" hidden="false" customHeight="false" outlineLevel="0" collapsed="false">
      <c r="A5" s="2" t="s">
        <v>172</v>
      </c>
      <c r="B5" s="2" t="s">
        <v>654</v>
      </c>
      <c r="C5" s="2" t="s">
        <v>635</v>
      </c>
      <c r="D5" s="2" t="s">
        <v>655</v>
      </c>
      <c r="E5" s="2" t="s">
        <v>169</v>
      </c>
    </row>
    <row r="6" customFormat="false" ht="15" hidden="false" customHeight="false" outlineLevel="0" collapsed="false">
      <c r="A6" s="2" t="s">
        <v>172</v>
      </c>
      <c r="B6" s="2" t="s">
        <v>656</v>
      </c>
      <c r="C6" s="2" t="s">
        <v>642</v>
      </c>
      <c r="D6" s="2" t="s">
        <v>487</v>
      </c>
      <c r="E6" s="2" t="s">
        <v>166</v>
      </c>
    </row>
    <row r="7" customFormat="false" ht="15" hidden="false" customHeight="false" outlineLevel="0" collapsed="false">
      <c r="A7" s="2" t="s">
        <v>172</v>
      </c>
      <c r="B7" s="2" t="s">
        <v>320</v>
      </c>
      <c r="C7" s="2" t="s">
        <v>642</v>
      </c>
      <c r="D7" s="2" t="s">
        <v>657</v>
      </c>
      <c r="E7" s="2" t="s">
        <v>169</v>
      </c>
    </row>
    <row r="8" customFormat="false" ht="15" hidden="false" customHeight="false" outlineLevel="0" collapsed="false">
      <c r="A8" s="2" t="s">
        <v>172</v>
      </c>
      <c r="B8" s="2" t="s">
        <v>658</v>
      </c>
      <c r="C8" s="2" t="s">
        <v>642</v>
      </c>
      <c r="D8" s="2" t="s">
        <v>487</v>
      </c>
      <c r="E8" s="2" t="s">
        <v>166</v>
      </c>
    </row>
    <row r="9" customFormat="false" ht="15" hidden="false" customHeight="false" outlineLevel="0" collapsed="false">
      <c r="A9" s="2" t="s">
        <v>172</v>
      </c>
      <c r="B9" s="2" t="s">
        <v>324</v>
      </c>
      <c r="C9" s="2" t="s">
        <v>642</v>
      </c>
      <c r="D9" s="2" t="s">
        <v>659</v>
      </c>
      <c r="E9" s="2" t="s">
        <v>169</v>
      </c>
    </row>
    <row r="10" customFormat="false" ht="15" hidden="false" customHeight="false" outlineLevel="0" collapsed="false">
      <c r="A10" s="2" t="s">
        <v>172</v>
      </c>
      <c r="B10" s="2" t="s">
        <v>660</v>
      </c>
      <c r="C10" s="2" t="s">
        <v>640</v>
      </c>
      <c r="D10" s="2" t="s">
        <v>355</v>
      </c>
      <c r="E10" s="2" t="s">
        <v>166</v>
      </c>
    </row>
    <row r="11" customFormat="false" ht="15" hidden="false" customHeight="false" outlineLevel="0" collapsed="false">
      <c r="A11" s="2" t="s">
        <v>172</v>
      </c>
      <c r="B11" s="2" t="s">
        <v>661</v>
      </c>
      <c r="C11" s="2" t="s">
        <v>641</v>
      </c>
      <c r="D11" s="2" t="s">
        <v>355</v>
      </c>
      <c r="E11" s="2" t="s">
        <v>166</v>
      </c>
    </row>
    <row r="12" customFormat="false" ht="15" hidden="false" customHeight="false" outlineLevel="0" collapsed="false">
      <c r="A12" s="2" t="s">
        <v>172</v>
      </c>
      <c r="B12" s="2" t="s">
        <v>662</v>
      </c>
      <c r="C12" s="2" t="s">
        <v>630</v>
      </c>
      <c r="D12" s="2" t="s">
        <v>585</v>
      </c>
      <c r="E12" s="2" t="s">
        <v>167</v>
      </c>
    </row>
    <row r="13" customFormat="false" ht="15" hidden="false" customHeight="false" outlineLevel="0" collapsed="false">
      <c r="A13" s="2" t="s">
        <v>172</v>
      </c>
      <c r="B13" s="2" t="s">
        <v>663</v>
      </c>
      <c r="C13" s="2" t="s">
        <v>631</v>
      </c>
      <c r="D13" s="2" t="s">
        <v>664</v>
      </c>
      <c r="E13" s="2" t="s">
        <v>166</v>
      </c>
    </row>
    <row r="14" customFormat="false" ht="15" hidden="false" customHeight="false" outlineLevel="0" collapsed="false">
      <c r="A14" s="2" t="s">
        <v>172</v>
      </c>
      <c r="B14" s="2" t="s">
        <v>665</v>
      </c>
      <c r="C14" s="2" t="s">
        <v>631</v>
      </c>
      <c r="D14" s="2" t="s">
        <v>666</v>
      </c>
      <c r="E14" s="2" t="s">
        <v>169</v>
      </c>
    </row>
    <row r="15" customFormat="false" ht="15" hidden="false" customHeight="false" outlineLevel="0" collapsed="false">
      <c r="A15" s="2" t="s">
        <v>172</v>
      </c>
      <c r="B15" s="2" t="s">
        <v>667</v>
      </c>
      <c r="C15" s="2" t="s">
        <v>638</v>
      </c>
      <c r="D15" s="2" t="s">
        <v>668</v>
      </c>
      <c r="E15" s="2" t="s">
        <v>166</v>
      </c>
    </row>
    <row r="16" customFormat="false" ht="15" hidden="false" customHeight="false" outlineLevel="0" collapsed="false">
      <c r="A16" s="2" t="s">
        <v>172</v>
      </c>
      <c r="B16" s="2" t="s">
        <v>669</v>
      </c>
      <c r="C16" s="2" t="s">
        <v>636</v>
      </c>
      <c r="D16" s="2" t="s">
        <v>670</v>
      </c>
      <c r="E16" s="2" t="s">
        <v>166</v>
      </c>
    </row>
    <row r="17" customFormat="false" ht="15" hidden="false" customHeight="false" outlineLevel="0" collapsed="false">
      <c r="A17" s="2" t="s">
        <v>172</v>
      </c>
      <c r="B17" s="2" t="s">
        <v>671</v>
      </c>
      <c r="C17" s="2" t="s">
        <v>632</v>
      </c>
      <c r="D17" s="2" t="s">
        <v>672</v>
      </c>
      <c r="E17" s="2" t="s">
        <v>166</v>
      </c>
    </row>
    <row r="18" customFormat="false" ht="15" hidden="false" customHeight="false" outlineLevel="0" collapsed="false">
      <c r="A18" s="2" t="s">
        <v>172</v>
      </c>
      <c r="B18" s="2" t="s">
        <v>673</v>
      </c>
      <c r="C18" s="2" t="s">
        <v>632</v>
      </c>
      <c r="D18" s="2" t="s">
        <v>523</v>
      </c>
      <c r="E18" s="2" t="s">
        <v>168</v>
      </c>
    </row>
    <row r="19" customFormat="false" ht="15" hidden="false" customHeight="false" outlineLevel="0" collapsed="false">
      <c r="A19" s="2" t="s">
        <v>172</v>
      </c>
      <c r="B19" s="2" t="s">
        <v>674</v>
      </c>
      <c r="C19" s="2" t="s">
        <v>632</v>
      </c>
      <c r="D19" s="2" t="s">
        <v>523</v>
      </c>
      <c r="E19" s="2" t="s">
        <v>168</v>
      </c>
    </row>
    <row r="20" customFormat="false" ht="15" hidden="false" customHeight="false" outlineLevel="0" collapsed="false">
      <c r="A20" s="2" t="s">
        <v>172</v>
      </c>
      <c r="B20" s="2" t="s">
        <v>675</v>
      </c>
      <c r="C20" s="2" t="s">
        <v>632</v>
      </c>
      <c r="D20" s="2" t="s">
        <v>523</v>
      </c>
      <c r="E20" s="2" t="s">
        <v>168</v>
      </c>
    </row>
    <row r="21" customFormat="false" ht="15" hidden="false" customHeight="false" outlineLevel="0" collapsed="false">
      <c r="A21" s="2" t="s">
        <v>172</v>
      </c>
      <c r="B21" s="2" t="s">
        <v>412</v>
      </c>
      <c r="C21" s="2" t="s">
        <v>632</v>
      </c>
      <c r="D21" s="2" t="s">
        <v>523</v>
      </c>
      <c r="E21" s="2" t="s">
        <v>168</v>
      </c>
    </row>
    <row r="22" customFormat="false" ht="15" hidden="false" customHeight="false" outlineLevel="0" collapsed="false">
      <c r="A22" s="2" t="s">
        <v>172</v>
      </c>
      <c r="B22" s="2" t="s">
        <v>676</v>
      </c>
      <c r="C22" s="2" t="s">
        <v>633</v>
      </c>
      <c r="D22" s="2" t="s">
        <v>677</v>
      </c>
      <c r="E22" s="2" t="s">
        <v>166</v>
      </c>
    </row>
    <row r="23" customFormat="false" ht="15" hidden="false" customHeight="false" outlineLevel="0" collapsed="false">
      <c r="A23" s="2" t="s">
        <v>172</v>
      </c>
      <c r="B23" s="2" t="s">
        <v>678</v>
      </c>
      <c r="C23" s="2" t="s">
        <v>634</v>
      </c>
      <c r="D23" s="2" t="s">
        <v>679</v>
      </c>
      <c r="E23" s="2" t="s">
        <v>166</v>
      </c>
    </row>
    <row r="24" customFormat="false" ht="15" hidden="false" customHeight="false" outlineLevel="0" collapsed="false">
      <c r="A24" s="2" t="s">
        <v>172</v>
      </c>
      <c r="B24" s="2" t="s">
        <v>680</v>
      </c>
      <c r="C24" s="2" t="s">
        <v>629</v>
      </c>
      <c r="D24" s="2" t="s">
        <v>681</v>
      </c>
      <c r="E24" s="2" t="s">
        <v>169</v>
      </c>
    </row>
    <row r="25" customFormat="false" ht="15" hidden="false" customHeight="false" outlineLevel="0" collapsed="false">
      <c r="A25" s="2" t="s">
        <v>172</v>
      </c>
      <c r="B25" s="2" t="s">
        <v>370</v>
      </c>
      <c r="C25" s="2" t="s">
        <v>627</v>
      </c>
      <c r="D25" s="2" t="s">
        <v>682</v>
      </c>
      <c r="E25" s="2" t="s">
        <v>166</v>
      </c>
    </row>
    <row r="26" customFormat="false" ht="15" hidden="false" customHeight="false" outlineLevel="0" collapsed="false">
      <c r="A26" s="2" t="s">
        <v>172</v>
      </c>
      <c r="B26" s="2" t="s">
        <v>683</v>
      </c>
      <c r="C26" s="2" t="s">
        <v>627</v>
      </c>
      <c r="D26" s="2" t="s">
        <v>402</v>
      </c>
      <c r="E26" s="2" t="s">
        <v>168</v>
      </c>
    </row>
    <row r="27" customFormat="false" ht="15" hidden="false" customHeight="false" outlineLevel="0" collapsed="false">
      <c r="A27" s="2" t="s">
        <v>172</v>
      </c>
      <c r="B27" s="2" t="s">
        <v>684</v>
      </c>
      <c r="C27" s="2" t="s">
        <v>627</v>
      </c>
      <c r="D27" s="2" t="s">
        <v>402</v>
      </c>
      <c r="E27" s="2" t="s">
        <v>168</v>
      </c>
    </row>
    <row r="28" customFormat="false" ht="15" hidden="false" customHeight="false" outlineLevel="0" collapsed="false">
      <c r="A28" s="2" t="s">
        <v>172</v>
      </c>
      <c r="B28" s="2" t="s">
        <v>410</v>
      </c>
      <c r="C28" s="2" t="s">
        <v>627</v>
      </c>
      <c r="D28" s="2" t="s">
        <v>402</v>
      </c>
      <c r="E28" s="2" t="s">
        <v>168</v>
      </c>
    </row>
    <row r="29" customFormat="false" ht="15" hidden="false" customHeight="false" outlineLevel="0" collapsed="false">
      <c r="A29" s="2" t="s">
        <v>172</v>
      </c>
      <c r="B29" s="2" t="s">
        <v>685</v>
      </c>
      <c r="C29" s="2" t="s">
        <v>627</v>
      </c>
      <c r="D29" s="2" t="s">
        <v>402</v>
      </c>
      <c r="E29" s="2" t="s">
        <v>170</v>
      </c>
    </row>
    <row r="30" customFormat="false" ht="15" hidden="false" customHeight="false" outlineLevel="0" collapsed="false">
      <c r="A30" s="2" t="s">
        <v>172</v>
      </c>
      <c r="B30" s="2" t="s">
        <v>686</v>
      </c>
      <c r="C30" s="2" t="s">
        <v>628</v>
      </c>
      <c r="D30" s="2" t="s">
        <v>687</v>
      </c>
      <c r="E30" s="2" t="s">
        <v>166</v>
      </c>
    </row>
    <row r="31" customFormat="false" ht="15" hidden="false" customHeight="false" outlineLevel="0" collapsed="false">
      <c r="A31" s="2" t="s">
        <v>172</v>
      </c>
      <c r="B31" s="2" t="s">
        <v>688</v>
      </c>
      <c r="C31" s="2" t="s">
        <v>645</v>
      </c>
      <c r="D31" s="2" t="s">
        <v>373</v>
      </c>
      <c r="E31" s="2" t="s">
        <v>170</v>
      </c>
    </row>
    <row r="32" customFormat="false" ht="15" hidden="false" customHeight="false" outlineLevel="0" collapsed="false">
      <c r="A32" s="2" t="s">
        <v>172</v>
      </c>
      <c r="B32" s="2" t="s">
        <v>689</v>
      </c>
      <c r="C32" s="2" t="s">
        <v>645</v>
      </c>
      <c r="D32" s="2" t="s">
        <v>690</v>
      </c>
      <c r="E32" s="2" t="s">
        <v>167</v>
      </c>
    </row>
    <row r="33" customFormat="false" ht="15" hidden="false" customHeight="false" outlineLevel="0" collapsed="false">
      <c r="A33" s="2" t="s">
        <v>172</v>
      </c>
      <c r="B33" s="2" t="s">
        <v>691</v>
      </c>
      <c r="C33" s="2" t="s">
        <v>645</v>
      </c>
      <c r="D33" s="2" t="s">
        <v>690</v>
      </c>
      <c r="E33" s="2" t="s">
        <v>167</v>
      </c>
    </row>
    <row r="34" customFormat="false" ht="15" hidden="false" customHeight="false" outlineLevel="0" collapsed="false">
      <c r="A34" s="2" t="s">
        <v>176</v>
      </c>
      <c r="B34" s="2" t="s">
        <v>649</v>
      </c>
      <c r="C34" s="2" t="s">
        <v>635</v>
      </c>
      <c r="D34" s="2" t="s">
        <v>487</v>
      </c>
      <c r="E34" s="2" t="s">
        <v>166</v>
      </c>
    </row>
    <row r="35" customFormat="false" ht="15" hidden="false" customHeight="false" outlineLevel="0" collapsed="false">
      <c r="A35" s="2" t="s">
        <v>176</v>
      </c>
      <c r="B35" s="2" t="s">
        <v>650</v>
      </c>
      <c r="C35" s="2" t="s">
        <v>635</v>
      </c>
      <c r="D35" s="2" t="s">
        <v>651</v>
      </c>
      <c r="E35" s="2" t="s">
        <v>169</v>
      </c>
    </row>
    <row r="36" customFormat="false" ht="15" hidden="false" customHeight="false" outlineLevel="0" collapsed="false">
      <c r="A36" s="2" t="s">
        <v>176</v>
      </c>
      <c r="B36" s="2" t="s">
        <v>652</v>
      </c>
      <c r="C36" s="2" t="s">
        <v>635</v>
      </c>
      <c r="D36" s="2" t="s">
        <v>653</v>
      </c>
      <c r="E36" s="2" t="s">
        <v>169</v>
      </c>
    </row>
    <row r="37" customFormat="false" ht="15" hidden="false" customHeight="false" outlineLevel="0" collapsed="false">
      <c r="A37" s="2" t="s">
        <v>176</v>
      </c>
      <c r="B37" s="2" t="s">
        <v>654</v>
      </c>
      <c r="C37" s="2" t="s">
        <v>635</v>
      </c>
      <c r="D37" s="2" t="s">
        <v>655</v>
      </c>
      <c r="E37" s="2" t="s">
        <v>169</v>
      </c>
    </row>
    <row r="38" customFormat="false" ht="15" hidden="false" customHeight="false" outlineLevel="0" collapsed="false">
      <c r="A38" s="2" t="s">
        <v>176</v>
      </c>
      <c r="B38" s="2" t="s">
        <v>656</v>
      </c>
      <c r="C38" s="2" t="s">
        <v>642</v>
      </c>
      <c r="D38" s="2" t="s">
        <v>487</v>
      </c>
      <c r="E38" s="2" t="s">
        <v>166</v>
      </c>
    </row>
    <row r="39" customFormat="false" ht="15" hidden="false" customHeight="false" outlineLevel="0" collapsed="false">
      <c r="A39" s="2" t="s">
        <v>176</v>
      </c>
      <c r="B39" s="2" t="s">
        <v>320</v>
      </c>
      <c r="C39" s="2" t="s">
        <v>642</v>
      </c>
      <c r="D39" s="2" t="s">
        <v>657</v>
      </c>
      <c r="E39" s="2" t="s">
        <v>169</v>
      </c>
    </row>
    <row r="40" customFormat="false" ht="15" hidden="false" customHeight="false" outlineLevel="0" collapsed="false">
      <c r="A40" s="2" t="s">
        <v>176</v>
      </c>
      <c r="B40" s="2" t="s">
        <v>658</v>
      </c>
      <c r="C40" s="2" t="s">
        <v>642</v>
      </c>
      <c r="D40" s="2" t="s">
        <v>487</v>
      </c>
      <c r="E40" s="2" t="s">
        <v>166</v>
      </c>
    </row>
    <row r="41" customFormat="false" ht="15" hidden="false" customHeight="false" outlineLevel="0" collapsed="false">
      <c r="A41" s="2" t="s">
        <v>176</v>
      </c>
      <c r="B41" s="2" t="s">
        <v>324</v>
      </c>
      <c r="C41" s="2" t="s">
        <v>642</v>
      </c>
      <c r="D41" s="2" t="s">
        <v>610</v>
      </c>
      <c r="E41" s="2" t="s">
        <v>166</v>
      </c>
    </row>
    <row r="42" customFormat="false" ht="15" hidden="false" customHeight="false" outlineLevel="0" collapsed="false">
      <c r="A42" s="2" t="s">
        <v>176</v>
      </c>
      <c r="B42" s="2" t="s">
        <v>660</v>
      </c>
      <c r="C42" s="2" t="s">
        <v>640</v>
      </c>
      <c r="D42" s="2" t="s">
        <v>355</v>
      </c>
      <c r="E42" s="2" t="s">
        <v>166</v>
      </c>
    </row>
    <row r="43" customFormat="false" ht="15" hidden="false" customHeight="false" outlineLevel="0" collapsed="false">
      <c r="A43" s="2" t="s">
        <v>176</v>
      </c>
      <c r="B43" s="2" t="s">
        <v>661</v>
      </c>
      <c r="C43" s="2" t="s">
        <v>641</v>
      </c>
      <c r="D43" s="2" t="s">
        <v>355</v>
      </c>
      <c r="E43" s="2" t="s">
        <v>166</v>
      </c>
    </row>
    <row r="44" customFormat="false" ht="15" hidden="false" customHeight="false" outlineLevel="0" collapsed="false">
      <c r="A44" s="2" t="s">
        <v>176</v>
      </c>
      <c r="B44" s="2" t="s">
        <v>662</v>
      </c>
      <c r="C44" s="2" t="s">
        <v>630</v>
      </c>
      <c r="D44" s="2" t="s">
        <v>585</v>
      </c>
      <c r="E44" s="2" t="s">
        <v>167</v>
      </c>
    </row>
    <row r="45" customFormat="false" ht="15" hidden="false" customHeight="false" outlineLevel="0" collapsed="false">
      <c r="A45" s="2" t="s">
        <v>176</v>
      </c>
      <c r="B45" s="2" t="s">
        <v>667</v>
      </c>
      <c r="C45" s="2" t="s">
        <v>638</v>
      </c>
      <c r="D45" s="2" t="s">
        <v>668</v>
      </c>
      <c r="E45" s="2" t="s">
        <v>166</v>
      </c>
    </row>
    <row r="46" customFormat="false" ht="15" hidden="false" customHeight="false" outlineLevel="0" collapsed="false">
      <c r="A46" s="2" t="s">
        <v>176</v>
      </c>
      <c r="B46" s="2" t="s">
        <v>669</v>
      </c>
      <c r="C46" s="2" t="s">
        <v>636</v>
      </c>
      <c r="D46" s="2" t="s">
        <v>670</v>
      </c>
      <c r="E46" s="2" t="s">
        <v>166</v>
      </c>
    </row>
    <row r="47" customFormat="false" ht="15" hidden="false" customHeight="false" outlineLevel="0" collapsed="false">
      <c r="A47" s="2" t="s">
        <v>176</v>
      </c>
      <c r="B47" s="2" t="s">
        <v>671</v>
      </c>
      <c r="C47" s="2" t="s">
        <v>632</v>
      </c>
      <c r="D47" s="2" t="s">
        <v>672</v>
      </c>
      <c r="E47" s="2" t="s">
        <v>166</v>
      </c>
    </row>
    <row r="48" customFormat="false" ht="15" hidden="false" customHeight="false" outlineLevel="0" collapsed="false">
      <c r="A48" s="2" t="s">
        <v>176</v>
      </c>
      <c r="B48" s="2" t="s">
        <v>692</v>
      </c>
      <c r="C48" s="2" t="s">
        <v>632</v>
      </c>
      <c r="D48" s="2" t="s">
        <v>523</v>
      </c>
      <c r="E48" s="2" t="s">
        <v>168</v>
      </c>
    </row>
    <row r="49" customFormat="false" ht="15" hidden="false" customHeight="false" outlineLevel="0" collapsed="false">
      <c r="A49" s="2" t="s">
        <v>176</v>
      </c>
      <c r="B49" s="2" t="s">
        <v>675</v>
      </c>
      <c r="C49" s="2" t="s">
        <v>632</v>
      </c>
      <c r="D49" s="2" t="s">
        <v>523</v>
      </c>
      <c r="E49" s="2" t="s">
        <v>168</v>
      </c>
    </row>
    <row r="50" customFormat="false" ht="15" hidden="false" customHeight="false" outlineLevel="0" collapsed="false">
      <c r="A50" s="2" t="s">
        <v>176</v>
      </c>
      <c r="B50" s="2" t="s">
        <v>412</v>
      </c>
      <c r="C50" s="2" t="s">
        <v>632</v>
      </c>
      <c r="D50" s="2" t="s">
        <v>523</v>
      </c>
      <c r="E50" s="2" t="s">
        <v>168</v>
      </c>
    </row>
    <row r="51" customFormat="false" ht="15" hidden="false" customHeight="false" outlineLevel="0" collapsed="false">
      <c r="A51" s="2" t="s">
        <v>176</v>
      </c>
      <c r="B51" s="2" t="s">
        <v>693</v>
      </c>
      <c r="C51" s="2" t="s">
        <v>632</v>
      </c>
      <c r="D51" s="2" t="s">
        <v>523</v>
      </c>
      <c r="E51" s="2" t="s">
        <v>170</v>
      </c>
    </row>
    <row r="52" customFormat="false" ht="15" hidden="false" customHeight="false" outlineLevel="0" collapsed="false">
      <c r="A52" s="2" t="s">
        <v>176</v>
      </c>
      <c r="B52" s="2" t="s">
        <v>694</v>
      </c>
      <c r="C52" s="2" t="s">
        <v>633</v>
      </c>
      <c r="D52" s="2" t="s">
        <v>677</v>
      </c>
      <c r="E52" s="2" t="s">
        <v>166</v>
      </c>
    </row>
    <row r="53" customFormat="false" ht="15" hidden="false" customHeight="false" outlineLevel="0" collapsed="false">
      <c r="A53" s="2" t="s">
        <v>176</v>
      </c>
      <c r="B53" s="2" t="s">
        <v>678</v>
      </c>
      <c r="C53" s="2" t="s">
        <v>634</v>
      </c>
      <c r="D53" s="2" t="s">
        <v>695</v>
      </c>
      <c r="E53" s="2" t="s">
        <v>169</v>
      </c>
    </row>
    <row r="54" customFormat="false" ht="15" hidden="false" customHeight="false" outlineLevel="0" collapsed="false">
      <c r="A54" s="2" t="s">
        <v>176</v>
      </c>
      <c r="B54" s="2" t="s">
        <v>680</v>
      </c>
      <c r="C54" s="2" t="s">
        <v>629</v>
      </c>
      <c r="D54" s="2" t="s">
        <v>681</v>
      </c>
      <c r="E54" s="2" t="s">
        <v>169</v>
      </c>
    </row>
    <row r="55" customFormat="false" ht="15" hidden="false" customHeight="false" outlineLevel="0" collapsed="false">
      <c r="A55" s="2" t="s">
        <v>176</v>
      </c>
      <c r="B55" s="2" t="s">
        <v>370</v>
      </c>
      <c r="C55" s="2" t="s">
        <v>627</v>
      </c>
      <c r="D55" s="2" t="s">
        <v>682</v>
      </c>
      <c r="E55" s="2" t="s">
        <v>166</v>
      </c>
    </row>
    <row r="56" customFormat="false" ht="15" hidden="false" customHeight="false" outlineLevel="0" collapsed="false">
      <c r="A56" s="2" t="s">
        <v>176</v>
      </c>
      <c r="B56" s="2" t="s">
        <v>683</v>
      </c>
      <c r="C56" s="2" t="s">
        <v>627</v>
      </c>
      <c r="D56" s="2" t="s">
        <v>402</v>
      </c>
      <c r="E56" s="2" t="s">
        <v>168</v>
      </c>
    </row>
    <row r="57" customFormat="false" ht="15" hidden="false" customHeight="false" outlineLevel="0" collapsed="false">
      <c r="A57" s="2" t="s">
        <v>176</v>
      </c>
      <c r="B57" s="2" t="s">
        <v>684</v>
      </c>
      <c r="C57" s="2" t="s">
        <v>627</v>
      </c>
      <c r="D57" s="2" t="s">
        <v>402</v>
      </c>
      <c r="E57" s="2" t="s">
        <v>168</v>
      </c>
    </row>
    <row r="58" customFormat="false" ht="15" hidden="false" customHeight="false" outlineLevel="0" collapsed="false">
      <c r="A58" s="2" t="s">
        <v>176</v>
      </c>
      <c r="B58" s="2" t="s">
        <v>410</v>
      </c>
      <c r="C58" s="2" t="s">
        <v>627</v>
      </c>
      <c r="D58" s="2" t="s">
        <v>402</v>
      </c>
      <c r="E58" s="2" t="s">
        <v>168</v>
      </c>
    </row>
    <row r="59" customFormat="false" ht="15" hidden="false" customHeight="false" outlineLevel="0" collapsed="false">
      <c r="A59" s="2" t="s">
        <v>176</v>
      </c>
      <c r="B59" s="2" t="s">
        <v>685</v>
      </c>
      <c r="C59" s="2" t="s">
        <v>627</v>
      </c>
      <c r="D59" s="2" t="s">
        <v>402</v>
      </c>
      <c r="E59" s="2" t="s">
        <v>170</v>
      </c>
    </row>
    <row r="60" customFormat="false" ht="15" hidden="false" customHeight="false" outlineLevel="0" collapsed="false">
      <c r="A60" s="2" t="s">
        <v>176</v>
      </c>
      <c r="B60" s="2" t="s">
        <v>686</v>
      </c>
      <c r="C60" s="2" t="s">
        <v>628</v>
      </c>
      <c r="D60" s="2" t="s">
        <v>687</v>
      </c>
      <c r="E60" s="2" t="s">
        <v>166</v>
      </c>
    </row>
    <row r="61" customFormat="false" ht="15" hidden="false" customHeight="false" outlineLevel="0" collapsed="false">
      <c r="A61" s="2" t="s">
        <v>176</v>
      </c>
      <c r="B61" s="2" t="s">
        <v>688</v>
      </c>
      <c r="C61" s="2" t="s">
        <v>645</v>
      </c>
      <c r="D61" s="2" t="s">
        <v>373</v>
      </c>
      <c r="E61" s="2" t="s">
        <v>170</v>
      </c>
    </row>
    <row r="62" customFormat="false" ht="15" hidden="false" customHeight="false" outlineLevel="0" collapsed="false">
      <c r="A62" s="2" t="s">
        <v>179</v>
      </c>
      <c r="B62" s="2" t="s">
        <v>649</v>
      </c>
      <c r="C62" s="2" t="s">
        <v>635</v>
      </c>
      <c r="D62" s="2" t="s">
        <v>487</v>
      </c>
      <c r="E62" s="2" t="s">
        <v>166</v>
      </c>
    </row>
    <row r="63" customFormat="false" ht="15" hidden="false" customHeight="false" outlineLevel="0" collapsed="false">
      <c r="A63" s="2" t="s">
        <v>179</v>
      </c>
      <c r="B63" s="2" t="s">
        <v>650</v>
      </c>
      <c r="C63" s="2" t="s">
        <v>635</v>
      </c>
      <c r="D63" s="2" t="s">
        <v>651</v>
      </c>
      <c r="E63" s="2" t="s">
        <v>169</v>
      </c>
    </row>
    <row r="64" customFormat="false" ht="15" hidden="false" customHeight="false" outlineLevel="0" collapsed="false">
      <c r="A64" s="2" t="s">
        <v>179</v>
      </c>
      <c r="B64" s="2" t="s">
        <v>652</v>
      </c>
      <c r="C64" s="2" t="s">
        <v>635</v>
      </c>
      <c r="D64" s="2" t="s">
        <v>653</v>
      </c>
      <c r="E64" s="2" t="s">
        <v>169</v>
      </c>
    </row>
    <row r="65" customFormat="false" ht="15" hidden="false" customHeight="false" outlineLevel="0" collapsed="false">
      <c r="A65" s="2" t="s">
        <v>179</v>
      </c>
      <c r="B65" s="2" t="s">
        <v>654</v>
      </c>
      <c r="C65" s="2" t="s">
        <v>635</v>
      </c>
      <c r="D65" s="2" t="s">
        <v>655</v>
      </c>
      <c r="E65" s="2" t="s">
        <v>169</v>
      </c>
    </row>
    <row r="66" customFormat="false" ht="15" hidden="false" customHeight="false" outlineLevel="0" collapsed="false">
      <c r="A66" s="2" t="s">
        <v>179</v>
      </c>
      <c r="B66" s="2" t="s">
        <v>656</v>
      </c>
      <c r="C66" s="2" t="s">
        <v>642</v>
      </c>
      <c r="D66" s="2" t="s">
        <v>487</v>
      </c>
      <c r="E66" s="2" t="s">
        <v>166</v>
      </c>
    </row>
    <row r="67" customFormat="false" ht="15" hidden="false" customHeight="false" outlineLevel="0" collapsed="false">
      <c r="A67" s="2" t="s">
        <v>179</v>
      </c>
      <c r="B67" s="2" t="s">
        <v>320</v>
      </c>
      <c r="C67" s="2" t="s">
        <v>642</v>
      </c>
      <c r="D67" s="2" t="s">
        <v>657</v>
      </c>
      <c r="E67" s="2" t="s">
        <v>169</v>
      </c>
    </row>
    <row r="68" customFormat="false" ht="15" hidden="false" customHeight="false" outlineLevel="0" collapsed="false">
      <c r="A68" s="2" t="s">
        <v>179</v>
      </c>
      <c r="B68" s="2" t="s">
        <v>658</v>
      </c>
      <c r="C68" s="2" t="s">
        <v>642</v>
      </c>
      <c r="D68" s="2" t="s">
        <v>487</v>
      </c>
      <c r="E68" s="2" t="s">
        <v>166</v>
      </c>
    </row>
    <row r="69" customFormat="false" ht="15" hidden="false" customHeight="false" outlineLevel="0" collapsed="false">
      <c r="A69" s="2" t="s">
        <v>179</v>
      </c>
      <c r="B69" s="2" t="s">
        <v>324</v>
      </c>
      <c r="C69" s="2" t="s">
        <v>642</v>
      </c>
      <c r="D69" s="2" t="s">
        <v>610</v>
      </c>
      <c r="E69" s="2" t="s">
        <v>166</v>
      </c>
    </row>
    <row r="70" customFormat="false" ht="15" hidden="false" customHeight="false" outlineLevel="0" collapsed="false">
      <c r="A70" s="2" t="s">
        <v>179</v>
      </c>
      <c r="B70" s="2" t="s">
        <v>660</v>
      </c>
      <c r="C70" s="2" t="s">
        <v>640</v>
      </c>
      <c r="D70" s="2" t="s">
        <v>355</v>
      </c>
      <c r="E70" s="2" t="s">
        <v>166</v>
      </c>
    </row>
    <row r="71" customFormat="false" ht="15" hidden="false" customHeight="false" outlineLevel="0" collapsed="false">
      <c r="A71" s="2" t="s">
        <v>179</v>
      </c>
      <c r="B71" s="2" t="s">
        <v>661</v>
      </c>
      <c r="C71" s="2" t="s">
        <v>641</v>
      </c>
      <c r="D71" s="2" t="s">
        <v>355</v>
      </c>
      <c r="E71" s="2" t="s">
        <v>166</v>
      </c>
    </row>
    <row r="72" customFormat="false" ht="15" hidden="false" customHeight="false" outlineLevel="0" collapsed="false">
      <c r="A72" s="2" t="s">
        <v>179</v>
      </c>
      <c r="B72" s="2" t="s">
        <v>662</v>
      </c>
      <c r="C72" s="2" t="s">
        <v>630</v>
      </c>
      <c r="D72" s="2" t="s">
        <v>585</v>
      </c>
      <c r="E72" s="2" t="s">
        <v>167</v>
      </c>
    </row>
    <row r="73" customFormat="false" ht="15" hidden="false" customHeight="false" outlineLevel="0" collapsed="false">
      <c r="A73" s="2" t="s">
        <v>179</v>
      </c>
      <c r="B73" s="2" t="s">
        <v>667</v>
      </c>
      <c r="C73" s="2" t="s">
        <v>638</v>
      </c>
      <c r="D73" s="2" t="s">
        <v>668</v>
      </c>
      <c r="E73" s="2" t="s">
        <v>166</v>
      </c>
    </row>
    <row r="74" customFormat="false" ht="15" hidden="false" customHeight="false" outlineLevel="0" collapsed="false">
      <c r="A74" s="2" t="s">
        <v>179</v>
      </c>
      <c r="B74" s="2" t="s">
        <v>669</v>
      </c>
      <c r="C74" s="2" t="s">
        <v>636</v>
      </c>
      <c r="D74" s="2" t="s">
        <v>670</v>
      </c>
      <c r="E74" s="2" t="s">
        <v>166</v>
      </c>
    </row>
    <row r="75" customFormat="false" ht="15" hidden="false" customHeight="false" outlineLevel="0" collapsed="false">
      <c r="A75" s="2" t="s">
        <v>179</v>
      </c>
      <c r="B75" s="2" t="s">
        <v>671</v>
      </c>
      <c r="C75" s="2" t="s">
        <v>632</v>
      </c>
      <c r="D75" s="2" t="s">
        <v>672</v>
      </c>
      <c r="E75" s="2" t="s">
        <v>166</v>
      </c>
    </row>
    <row r="76" customFormat="false" ht="15" hidden="false" customHeight="false" outlineLevel="0" collapsed="false">
      <c r="A76" s="2" t="s">
        <v>179</v>
      </c>
      <c r="B76" s="2" t="s">
        <v>673</v>
      </c>
      <c r="C76" s="2" t="s">
        <v>632</v>
      </c>
      <c r="D76" s="2" t="s">
        <v>523</v>
      </c>
      <c r="E76" s="2" t="s">
        <v>168</v>
      </c>
    </row>
    <row r="77" customFormat="false" ht="15" hidden="false" customHeight="false" outlineLevel="0" collapsed="false">
      <c r="A77" s="2" t="s">
        <v>179</v>
      </c>
      <c r="B77" s="2" t="s">
        <v>674</v>
      </c>
      <c r="C77" s="2" t="s">
        <v>632</v>
      </c>
      <c r="D77" s="2" t="s">
        <v>523</v>
      </c>
      <c r="E77" s="2" t="s">
        <v>168</v>
      </c>
    </row>
    <row r="78" customFormat="false" ht="15" hidden="false" customHeight="false" outlineLevel="0" collapsed="false">
      <c r="A78" s="2" t="s">
        <v>179</v>
      </c>
      <c r="B78" s="2" t="s">
        <v>692</v>
      </c>
      <c r="C78" s="2" t="s">
        <v>632</v>
      </c>
      <c r="D78" s="2" t="s">
        <v>523</v>
      </c>
      <c r="E78" s="2" t="s">
        <v>168</v>
      </c>
    </row>
    <row r="79" customFormat="false" ht="15" hidden="false" customHeight="false" outlineLevel="0" collapsed="false">
      <c r="A79" s="2" t="s">
        <v>179</v>
      </c>
      <c r="B79" s="2" t="s">
        <v>675</v>
      </c>
      <c r="C79" s="2" t="s">
        <v>632</v>
      </c>
      <c r="D79" s="2" t="s">
        <v>523</v>
      </c>
      <c r="E79" s="2" t="s">
        <v>168</v>
      </c>
    </row>
    <row r="80" customFormat="false" ht="15" hidden="false" customHeight="false" outlineLevel="0" collapsed="false">
      <c r="A80" s="2" t="s">
        <v>179</v>
      </c>
      <c r="B80" s="2" t="s">
        <v>412</v>
      </c>
      <c r="C80" s="2" t="s">
        <v>632</v>
      </c>
      <c r="D80" s="2" t="s">
        <v>523</v>
      </c>
      <c r="E80" s="2" t="s">
        <v>168</v>
      </c>
    </row>
    <row r="81" customFormat="false" ht="15" hidden="false" customHeight="false" outlineLevel="0" collapsed="false">
      <c r="A81" s="2" t="s">
        <v>179</v>
      </c>
      <c r="B81" s="2" t="s">
        <v>694</v>
      </c>
      <c r="C81" s="2" t="s">
        <v>633</v>
      </c>
      <c r="D81" s="2" t="s">
        <v>677</v>
      </c>
      <c r="E81" s="2" t="s">
        <v>166</v>
      </c>
    </row>
    <row r="82" customFormat="false" ht="15" hidden="false" customHeight="false" outlineLevel="0" collapsed="false">
      <c r="A82" s="2" t="s">
        <v>179</v>
      </c>
      <c r="B82" s="2" t="s">
        <v>678</v>
      </c>
      <c r="C82" s="2" t="s">
        <v>634</v>
      </c>
      <c r="D82" s="2" t="s">
        <v>695</v>
      </c>
      <c r="E82" s="2" t="s">
        <v>169</v>
      </c>
    </row>
    <row r="83" customFormat="false" ht="15" hidden="false" customHeight="false" outlineLevel="0" collapsed="false">
      <c r="A83" s="2" t="s">
        <v>179</v>
      </c>
      <c r="B83" s="2" t="s">
        <v>680</v>
      </c>
      <c r="C83" s="2" t="s">
        <v>629</v>
      </c>
      <c r="D83" s="2" t="s">
        <v>681</v>
      </c>
      <c r="E83" s="2" t="s">
        <v>169</v>
      </c>
    </row>
    <row r="84" customFormat="false" ht="15" hidden="false" customHeight="false" outlineLevel="0" collapsed="false">
      <c r="A84" s="2" t="s">
        <v>179</v>
      </c>
      <c r="B84" s="2" t="s">
        <v>370</v>
      </c>
      <c r="C84" s="2" t="s">
        <v>627</v>
      </c>
      <c r="D84" s="2" t="s">
        <v>682</v>
      </c>
      <c r="E84" s="2" t="s">
        <v>166</v>
      </c>
    </row>
    <row r="85" customFormat="false" ht="15" hidden="false" customHeight="false" outlineLevel="0" collapsed="false">
      <c r="A85" s="2" t="s">
        <v>179</v>
      </c>
      <c r="B85" s="2" t="s">
        <v>696</v>
      </c>
      <c r="C85" s="2" t="s">
        <v>627</v>
      </c>
      <c r="D85" s="2" t="s">
        <v>402</v>
      </c>
      <c r="E85" s="2" t="s">
        <v>168</v>
      </c>
    </row>
    <row r="86" customFormat="false" ht="15" hidden="false" customHeight="false" outlineLevel="0" collapsed="false">
      <c r="A86" s="2" t="s">
        <v>179</v>
      </c>
      <c r="B86" s="2" t="s">
        <v>697</v>
      </c>
      <c r="C86" s="2" t="s">
        <v>627</v>
      </c>
      <c r="D86" s="2" t="s">
        <v>402</v>
      </c>
      <c r="E86" s="2" t="s">
        <v>168</v>
      </c>
    </row>
    <row r="87" customFormat="false" ht="15" hidden="false" customHeight="false" outlineLevel="0" collapsed="false">
      <c r="A87" s="2" t="s">
        <v>179</v>
      </c>
      <c r="B87" s="2" t="s">
        <v>684</v>
      </c>
      <c r="C87" s="2" t="s">
        <v>627</v>
      </c>
      <c r="D87" s="2" t="s">
        <v>402</v>
      </c>
      <c r="E87" s="2" t="s">
        <v>168</v>
      </c>
    </row>
    <row r="88" customFormat="false" ht="15" hidden="false" customHeight="false" outlineLevel="0" collapsed="false">
      <c r="A88" s="2" t="s">
        <v>179</v>
      </c>
      <c r="B88" s="2" t="s">
        <v>410</v>
      </c>
      <c r="C88" s="2" t="s">
        <v>627</v>
      </c>
      <c r="D88" s="2" t="s">
        <v>402</v>
      </c>
      <c r="E88" s="2" t="s">
        <v>168</v>
      </c>
    </row>
    <row r="89" customFormat="false" ht="15" hidden="false" customHeight="false" outlineLevel="0" collapsed="false">
      <c r="A89" s="2" t="s">
        <v>179</v>
      </c>
      <c r="B89" s="2" t="s">
        <v>686</v>
      </c>
      <c r="C89" s="2" t="s">
        <v>628</v>
      </c>
      <c r="D89" s="2" t="s">
        <v>687</v>
      </c>
      <c r="E89" s="2" t="s">
        <v>166</v>
      </c>
    </row>
    <row r="90" customFormat="false" ht="15" hidden="false" customHeight="false" outlineLevel="0" collapsed="false">
      <c r="A90" s="2" t="s">
        <v>179</v>
      </c>
      <c r="B90" s="2" t="s">
        <v>688</v>
      </c>
      <c r="C90" s="2" t="s">
        <v>645</v>
      </c>
      <c r="D90" s="2" t="s">
        <v>373</v>
      </c>
      <c r="E90" s="2" t="s">
        <v>170</v>
      </c>
    </row>
    <row r="91" customFormat="false" ht="15" hidden="false" customHeight="false" outlineLevel="0" collapsed="false">
      <c r="A91" s="2" t="s">
        <v>179</v>
      </c>
      <c r="B91" s="2" t="s">
        <v>689</v>
      </c>
      <c r="C91" s="2" t="s">
        <v>645</v>
      </c>
      <c r="D91" s="2" t="s">
        <v>690</v>
      </c>
      <c r="E91" s="2" t="s">
        <v>167</v>
      </c>
    </row>
    <row r="92" customFormat="false" ht="15" hidden="false" customHeight="false" outlineLevel="0" collapsed="false">
      <c r="A92" s="2" t="s">
        <v>179</v>
      </c>
      <c r="B92" s="2" t="s">
        <v>691</v>
      </c>
      <c r="C92" s="2" t="s">
        <v>645</v>
      </c>
      <c r="D92" s="2" t="s">
        <v>690</v>
      </c>
      <c r="E92" s="2" t="s">
        <v>167</v>
      </c>
    </row>
    <row r="93" customFormat="false" ht="15" hidden="false" customHeight="false" outlineLevel="0" collapsed="false">
      <c r="A93" s="2" t="s">
        <v>181</v>
      </c>
      <c r="B93" s="2" t="s">
        <v>649</v>
      </c>
      <c r="C93" s="2" t="s">
        <v>635</v>
      </c>
      <c r="D93" s="2" t="s">
        <v>487</v>
      </c>
      <c r="E93" s="2" t="s">
        <v>166</v>
      </c>
    </row>
    <row r="94" customFormat="false" ht="15" hidden="false" customHeight="false" outlineLevel="0" collapsed="false">
      <c r="A94" s="2" t="s">
        <v>181</v>
      </c>
      <c r="B94" s="2" t="s">
        <v>650</v>
      </c>
      <c r="C94" s="2" t="s">
        <v>635</v>
      </c>
      <c r="D94" s="2" t="s">
        <v>651</v>
      </c>
      <c r="E94" s="2" t="s">
        <v>169</v>
      </c>
    </row>
    <row r="95" customFormat="false" ht="15" hidden="false" customHeight="false" outlineLevel="0" collapsed="false">
      <c r="A95" s="2" t="s">
        <v>181</v>
      </c>
      <c r="B95" s="2" t="s">
        <v>652</v>
      </c>
      <c r="C95" s="2" t="s">
        <v>635</v>
      </c>
      <c r="D95" s="2" t="s">
        <v>653</v>
      </c>
      <c r="E95" s="2" t="s">
        <v>169</v>
      </c>
    </row>
    <row r="96" customFormat="false" ht="15" hidden="false" customHeight="false" outlineLevel="0" collapsed="false">
      <c r="A96" s="2" t="s">
        <v>181</v>
      </c>
      <c r="B96" s="2" t="s">
        <v>654</v>
      </c>
      <c r="C96" s="2" t="s">
        <v>635</v>
      </c>
      <c r="D96" s="2" t="s">
        <v>655</v>
      </c>
      <c r="E96" s="2" t="s">
        <v>169</v>
      </c>
    </row>
    <row r="97" customFormat="false" ht="15" hidden="false" customHeight="false" outlineLevel="0" collapsed="false">
      <c r="A97" s="2" t="s">
        <v>181</v>
      </c>
      <c r="B97" s="2" t="s">
        <v>656</v>
      </c>
      <c r="C97" s="2" t="s">
        <v>642</v>
      </c>
      <c r="D97" s="2" t="s">
        <v>487</v>
      </c>
      <c r="E97" s="2" t="s">
        <v>166</v>
      </c>
    </row>
    <row r="98" customFormat="false" ht="15" hidden="false" customHeight="false" outlineLevel="0" collapsed="false">
      <c r="A98" s="2" t="s">
        <v>181</v>
      </c>
      <c r="B98" s="2" t="s">
        <v>320</v>
      </c>
      <c r="C98" s="2" t="s">
        <v>642</v>
      </c>
      <c r="D98" s="2" t="s">
        <v>657</v>
      </c>
      <c r="E98" s="2" t="s">
        <v>169</v>
      </c>
    </row>
    <row r="99" customFormat="false" ht="15" hidden="false" customHeight="false" outlineLevel="0" collapsed="false">
      <c r="A99" s="2" t="s">
        <v>181</v>
      </c>
      <c r="B99" s="2" t="s">
        <v>658</v>
      </c>
      <c r="C99" s="2" t="s">
        <v>642</v>
      </c>
      <c r="D99" s="2" t="s">
        <v>487</v>
      </c>
      <c r="E99" s="2" t="s">
        <v>166</v>
      </c>
    </row>
    <row r="100" customFormat="false" ht="15" hidden="false" customHeight="false" outlineLevel="0" collapsed="false">
      <c r="A100" s="2" t="s">
        <v>181</v>
      </c>
      <c r="B100" s="2" t="s">
        <v>324</v>
      </c>
      <c r="C100" s="2" t="s">
        <v>642</v>
      </c>
      <c r="D100" s="2" t="s">
        <v>610</v>
      </c>
      <c r="E100" s="2" t="s">
        <v>166</v>
      </c>
    </row>
    <row r="101" customFormat="false" ht="15" hidden="false" customHeight="false" outlineLevel="0" collapsed="false">
      <c r="A101" s="2" t="s">
        <v>181</v>
      </c>
      <c r="B101" s="2" t="s">
        <v>660</v>
      </c>
      <c r="C101" s="2" t="s">
        <v>640</v>
      </c>
      <c r="D101" s="2" t="s">
        <v>355</v>
      </c>
      <c r="E101" s="2" t="s">
        <v>166</v>
      </c>
    </row>
    <row r="102" customFormat="false" ht="15" hidden="false" customHeight="false" outlineLevel="0" collapsed="false">
      <c r="A102" s="2" t="s">
        <v>181</v>
      </c>
      <c r="B102" s="2" t="s">
        <v>661</v>
      </c>
      <c r="C102" s="2" t="s">
        <v>641</v>
      </c>
      <c r="D102" s="2" t="s">
        <v>355</v>
      </c>
      <c r="E102" s="2" t="s">
        <v>166</v>
      </c>
    </row>
    <row r="103" customFormat="false" ht="15" hidden="false" customHeight="false" outlineLevel="0" collapsed="false">
      <c r="A103" s="2" t="s">
        <v>181</v>
      </c>
      <c r="B103" s="2" t="s">
        <v>662</v>
      </c>
      <c r="C103" s="2" t="s">
        <v>630</v>
      </c>
      <c r="D103" s="2" t="s">
        <v>585</v>
      </c>
      <c r="E103" s="2" t="s">
        <v>167</v>
      </c>
    </row>
    <row r="104" customFormat="false" ht="15" hidden="false" customHeight="false" outlineLevel="0" collapsed="false">
      <c r="A104" s="2" t="s">
        <v>181</v>
      </c>
      <c r="B104" s="2" t="s">
        <v>663</v>
      </c>
      <c r="C104" s="2" t="s">
        <v>631</v>
      </c>
      <c r="D104" s="2" t="s">
        <v>698</v>
      </c>
      <c r="E104" s="2" t="s">
        <v>166</v>
      </c>
    </row>
    <row r="105" customFormat="false" ht="15" hidden="false" customHeight="false" outlineLevel="0" collapsed="false">
      <c r="A105" s="2" t="s">
        <v>181</v>
      </c>
      <c r="B105" s="2" t="s">
        <v>665</v>
      </c>
      <c r="C105" s="2" t="s">
        <v>631</v>
      </c>
      <c r="D105" s="2" t="s">
        <v>699</v>
      </c>
      <c r="E105" s="2" t="s">
        <v>169</v>
      </c>
    </row>
    <row r="106" customFormat="false" ht="15" hidden="false" customHeight="false" outlineLevel="0" collapsed="false">
      <c r="A106" s="2" t="s">
        <v>181</v>
      </c>
      <c r="B106" s="2" t="s">
        <v>667</v>
      </c>
      <c r="C106" s="2" t="s">
        <v>638</v>
      </c>
      <c r="D106" s="2" t="s">
        <v>668</v>
      </c>
      <c r="E106" s="2" t="s">
        <v>166</v>
      </c>
    </row>
    <row r="107" customFormat="false" ht="15" hidden="false" customHeight="false" outlineLevel="0" collapsed="false">
      <c r="A107" s="2" t="s">
        <v>181</v>
      </c>
      <c r="B107" s="2" t="s">
        <v>669</v>
      </c>
      <c r="C107" s="2" t="s">
        <v>636</v>
      </c>
      <c r="D107" s="2" t="s">
        <v>670</v>
      </c>
      <c r="E107" s="2" t="s">
        <v>166</v>
      </c>
    </row>
    <row r="108" customFormat="false" ht="15" hidden="false" customHeight="false" outlineLevel="0" collapsed="false">
      <c r="A108" s="2" t="s">
        <v>181</v>
      </c>
      <c r="B108" s="2" t="s">
        <v>700</v>
      </c>
      <c r="C108" s="2" t="s">
        <v>558</v>
      </c>
      <c r="D108" s="2" t="s">
        <v>701</v>
      </c>
      <c r="E108" s="2" t="s">
        <v>166</v>
      </c>
    </row>
    <row r="109" customFormat="false" ht="15" hidden="false" customHeight="false" outlineLevel="0" collapsed="false">
      <c r="A109" s="2" t="s">
        <v>181</v>
      </c>
      <c r="B109" s="2" t="s">
        <v>671</v>
      </c>
      <c r="C109" s="2" t="s">
        <v>632</v>
      </c>
      <c r="D109" s="2" t="s">
        <v>672</v>
      </c>
      <c r="E109" s="2" t="s">
        <v>166</v>
      </c>
    </row>
    <row r="110" customFormat="false" ht="15" hidden="false" customHeight="false" outlineLevel="0" collapsed="false">
      <c r="A110" s="2" t="s">
        <v>181</v>
      </c>
      <c r="B110" s="2" t="s">
        <v>673</v>
      </c>
      <c r="C110" s="2" t="s">
        <v>632</v>
      </c>
      <c r="D110" s="2" t="s">
        <v>523</v>
      </c>
      <c r="E110" s="2" t="s">
        <v>168</v>
      </c>
    </row>
    <row r="111" customFormat="false" ht="15" hidden="false" customHeight="false" outlineLevel="0" collapsed="false">
      <c r="A111" s="2" t="s">
        <v>181</v>
      </c>
      <c r="B111" s="2" t="s">
        <v>674</v>
      </c>
      <c r="C111" s="2" t="s">
        <v>632</v>
      </c>
      <c r="D111" s="2" t="s">
        <v>523</v>
      </c>
      <c r="E111" s="2" t="s">
        <v>168</v>
      </c>
    </row>
    <row r="112" customFormat="false" ht="15" hidden="false" customHeight="false" outlineLevel="0" collapsed="false">
      <c r="A112" s="2" t="s">
        <v>181</v>
      </c>
      <c r="B112" s="2" t="s">
        <v>692</v>
      </c>
      <c r="C112" s="2" t="s">
        <v>632</v>
      </c>
      <c r="D112" s="2" t="s">
        <v>523</v>
      </c>
      <c r="E112" s="2" t="s">
        <v>168</v>
      </c>
    </row>
    <row r="113" customFormat="false" ht="15" hidden="false" customHeight="false" outlineLevel="0" collapsed="false">
      <c r="A113" s="2" t="s">
        <v>181</v>
      </c>
      <c r="B113" s="2" t="s">
        <v>675</v>
      </c>
      <c r="C113" s="2" t="s">
        <v>632</v>
      </c>
      <c r="D113" s="2" t="s">
        <v>523</v>
      </c>
      <c r="E113" s="2" t="s">
        <v>168</v>
      </c>
    </row>
    <row r="114" customFormat="false" ht="15" hidden="false" customHeight="false" outlineLevel="0" collapsed="false">
      <c r="A114" s="2" t="s">
        <v>181</v>
      </c>
      <c r="B114" s="2" t="s">
        <v>702</v>
      </c>
      <c r="C114" s="2" t="s">
        <v>632</v>
      </c>
      <c r="D114" s="2" t="s">
        <v>523</v>
      </c>
      <c r="E114" s="2" t="s">
        <v>168</v>
      </c>
    </row>
    <row r="115" customFormat="false" ht="15" hidden="false" customHeight="false" outlineLevel="0" collapsed="false">
      <c r="A115" s="2" t="s">
        <v>181</v>
      </c>
      <c r="B115" s="2" t="s">
        <v>412</v>
      </c>
      <c r="C115" s="2" t="s">
        <v>632</v>
      </c>
      <c r="D115" s="2" t="s">
        <v>523</v>
      </c>
      <c r="E115" s="2" t="s">
        <v>168</v>
      </c>
    </row>
    <row r="116" customFormat="false" ht="15" hidden="false" customHeight="false" outlineLevel="0" collapsed="false">
      <c r="A116" s="2" t="s">
        <v>181</v>
      </c>
      <c r="B116" s="2" t="s">
        <v>676</v>
      </c>
      <c r="C116" s="2" t="s">
        <v>633</v>
      </c>
      <c r="D116" s="2" t="s">
        <v>677</v>
      </c>
      <c r="E116" s="2" t="s">
        <v>166</v>
      </c>
    </row>
    <row r="117" customFormat="false" ht="15" hidden="false" customHeight="false" outlineLevel="0" collapsed="false">
      <c r="A117" s="2" t="s">
        <v>181</v>
      </c>
      <c r="B117" s="2" t="s">
        <v>678</v>
      </c>
      <c r="C117" s="2" t="s">
        <v>634</v>
      </c>
      <c r="D117" s="2" t="s">
        <v>679</v>
      </c>
      <c r="E117" s="2" t="s">
        <v>166</v>
      </c>
    </row>
    <row r="118" customFormat="false" ht="15" hidden="false" customHeight="false" outlineLevel="0" collapsed="false">
      <c r="A118" s="2" t="s">
        <v>181</v>
      </c>
      <c r="B118" s="2" t="s">
        <v>680</v>
      </c>
      <c r="C118" s="2" t="s">
        <v>629</v>
      </c>
      <c r="D118" s="2" t="s">
        <v>703</v>
      </c>
      <c r="E118" s="2" t="s">
        <v>166</v>
      </c>
    </row>
    <row r="119" customFormat="false" ht="15" hidden="false" customHeight="false" outlineLevel="0" collapsed="false">
      <c r="A119" s="2" t="s">
        <v>181</v>
      </c>
      <c r="B119" s="2" t="s">
        <v>370</v>
      </c>
      <c r="C119" s="2" t="s">
        <v>627</v>
      </c>
      <c r="D119" s="2" t="s">
        <v>682</v>
      </c>
      <c r="E119" s="2" t="s">
        <v>166</v>
      </c>
    </row>
    <row r="120" customFormat="false" ht="15" hidden="false" customHeight="false" outlineLevel="0" collapsed="false">
      <c r="A120" s="2" t="s">
        <v>181</v>
      </c>
      <c r="B120" s="2" t="s">
        <v>684</v>
      </c>
      <c r="C120" s="2" t="s">
        <v>627</v>
      </c>
      <c r="D120" s="2" t="s">
        <v>402</v>
      </c>
      <c r="E120" s="2" t="s">
        <v>168</v>
      </c>
    </row>
    <row r="121" customFormat="false" ht="15" hidden="false" customHeight="false" outlineLevel="0" collapsed="false">
      <c r="A121" s="2" t="s">
        <v>181</v>
      </c>
      <c r="B121" s="2" t="s">
        <v>410</v>
      </c>
      <c r="C121" s="2" t="s">
        <v>627</v>
      </c>
      <c r="D121" s="2" t="s">
        <v>402</v>
      </c>
      <c r="E121" s="2" t="s">
        <v>168</v>
      </c>
    </row>
    <row r="122" customFormat="false" ht="15" hidden="false" customHeight="false" outlineLevel="0" collapsed="false">
      <c r="A122" s="2" t="s">
        <v>181</v>
      </c>
      <c r="B122" s="2" t="s">
        <v>685</v>
      </c>
      <c r="C122" s="2" t="s">
        <v>627</v>
      </c>
      <c r="D122" s="2" t="s">
        <v>402</v>
      </c>
      <c r="E122" s="2" t="s">
        <v>170</v>
      </c>
    </row>
    <row r="123" customFormat="false" ht="15" hidden="false" customHeight="false" outlineLevel="0" collapsed="false">
      <c r="A123" s="2" t="s">
        <v>181</v>
      </c>
      <c r="B123" s="2" t="s">
        <v>686</v>
      </c>
      <c r="C123" s="2" t="s">
        <v>628</v>
      </c>
      <c r="D123" s="2" t="s">
        <v>687</v>
      </c>
      <c r="E123" s="2" t="s">
        <v>166</v>
      </c>
    </row>
    <row r="124" customFormat="false" ht="15" hidden="false" customHeight="false" outlineLevel="0" collapsed="false">
      <c r="A124" s="2" t="s">
        <v>181</v>
      </c>
      <c r="B124" s="2" t="s">
        <v>688</v>
      </c>
      <c r="C124" s="2" t="s">
        <v>645</v>
      </c>
      <c r="D124" s="2" t="s">
        <v>373</v>
      </c>
      <c r="E124" s="2" t="s">
        <v>170</v>
      </c>
    </row>
    <row r="125" customFormat="false" ht="15" hidden="false" customHeight="false" outlineLevel="0" collapsed="false">
      <c r="A125" s="2" t="s">
        <v>183</v>
      </c>
      <c r="B125" s="2" t="s">
        <v>649</v>
      </c>
      <c r="C125" s="2" t="s">
        <v>635</v>
      </c>
      <c r="D125" s="2" t="s">
        <v>487</v>
      </c>
      <c r="E125" s="2" t="s">
        <v>166</v>
      </c>
    </row>
    <row r="126" customFormat="false" ht="15" hidden="false" customHeight="false" outlineLevel="0" collapsed="false">
      <c r="A126" s="2" t="s">
        <v>183</v>
      </c>
      <c r="B126" s="2" t="s">
        <v>650</v>
      </c>
      <c r="C126" s="2" t="s">
        <v>635</v>
      </c>
      <c r="D126" s="2" t="s">
        <v>651</v>
      </c>
      <c r="E126" s="2" t="s">
        <v>169</v>
      </c>
    </row>
    <row r="127" customFormat="false" ht="15" hidden="false" customHeight="false" outlineLevel="0" collapsed="false">
      <c r="A127" s="2" t="s">
        <v>183</v>
      </c>
      <c r="B127" s="2" t="s">
        <v>652</v>
      </c>
      <c r="C127" s="2" t="s">
        <v>635</v>
      </c>
      <c r="D127" s="2" t="s">
        <v>653</v>
      </c>
      <c r="E127" s="2" t="s">
        <v>169</v>
      </c>
    </row>
    <row r="128" customFormat="false" ht="15" hidden="false" customHeight="false" outlineLevel="0" collapsed="false">
      <c r="A128" s="2" t="s">
        <v>183</v>
      </c>
      <c r="B128" s="2" t="s">
        <v>654</v>
      </c>
      <c r="C128" s="2" t="s">
        <v>635</v>
      </c>
      <c r="D128" s="2" t="s">
        <v>655</v>
      </c>
      <c r="E128" s="2" t="s">
        <v>169</v>
      </c>
    </row>
    <row r="129" customFormat="false" ht="15" hidden="false" customHeight="false" outlineLevel="0" collapsed="false">
      <c r="A129" s="2" t="s">
        <v>183</v>
      </c>
      <c r="B129" s="2" t="s">
        <v>656</v>
      </c>
      <c r="C129" s="2" t="s">
        <v>642</v>
      </c>
      <c r="D129" s="2" t="s">
        <v>487</v>
      </c>
      <c r="E129" s="2" t="s">
        <v>166</v>
      </c>
    </row>
    <row r="130" customFormat="false" ht="15" hidden="false" customHeight="false" outlineLevel="0" collapsed="false">
      <c r="A130" s="2" t="s">
        <v>183</v>
      </c>
      <c r="B130" s="2" t="s">
        <v>320</v>
      </c>
      <c r="C130" s="2" t="s">
        <v>642</v>
      </c>
      <c r="D130" s="2" t="s">
        <v>657</v>
      </c>
      <c r="E130" s="2" t="s">
        <v>169</v>
      </c>
    </row>
    <row r="131" customFormat="false" ht="15" hidden="false" customHeight="false" outlineLevel="0" collapsed="false">
      <c r="A131" s="2" t="s">
        <v>183</v>
      </c>
      <c r="B131" s="2" t="s">
        <v>658</v>
      </c>
      <c r="C131" s="2" t="s">
        <v>642</v>
      </c>
      <c r="D131" s="2" t="s">
        <v>487</v>
      </c>
      <c r="E131" s="2" t="s">
        <v>166</v>
      </c>
    </row>
    <row r="132" customFormat="false" ht="15" hidden="false" customHeight="false" outlineLevel="0" collapsed="false">
      <c r="A132" s="2" t="s">
        <v>183</v>
      </c>
      <c r="B132" s="2" t="s">
        <v>324</v>
      </c>
      <c r="C132" s="2" t="s">
        <v>642</v>
      </c>
      <c r="D132" s="2" t="s">
        <v>610</v>
      </c>
      <c r="E132" s="2" t="s">
        <v>166</v>
      </c>
    </row>
    <row r="133" customFormat="false" ht="15" hidden="false" customHeight="false" outlineLevel="0" collapsed="false">
      <c r="A133" s="2" t="s">
        <v>183</v>
      </c>
      <c r="B133" s="2" t="s">
        <v>704</v>
      </c>
      <c r="C133" s="2" t="s">
        <v>643</v>
      </c>
      <c r="D133" s="2" t="s">
        <v>494</v>
      </c>
      <c r="E133" s="2" t="s">
        <v>167</v>
      </c>
    </row>
    <row r="134" customFormat="false" ht="15" hidden="false" customHeight="false" outlineLevel="0" collapsed="false">
      <c r="A134" s="2" t="s">
        <v>183</v>
      </c>
      <c r="B134" s="2" t="s">
        <v>660</v>
      </c>
      <c r="C134" s="2" t="s">
        <v>640</v>
      </c>
      <c r="D134" s="2" t="s">
        <v>355</v>
      </c>
      <c r="E134" s="2" t="s">
        <v>166</v>
      </c>
    </row>
    <row r="135" customFormat="false" ht="15" hidden="false" customHeight="false" outlineLevel="0" collapsed="false">
      <c r="A135" s="2" t="s">
        <v>183</v>
      </c>
      <c r="B135" s="2" t="s">
        <v>661</v>
      </c>
      <c r="C135" s="2" t="s">
        <v>641</v>
      </c>
      <c r="D135" s="2" t="s">
        <v>355</v>
      </c>
      <c r="E135" s="2" t="s">
        <v>166</v>
      </c>
    </row>
    <row r="136" customFormat="false" ht="15" hidden="false" customHeight="false" outlineLevel="0" collapsed="false">
      <c r="A136" s="2" t="s">
        <v>183</v>
      </c>
      <c r="B136" s="2" t="s">
        <v>662</v>
      </c>
      <c r="C136" s="2" t="s">
        <v>630</v>
      </c>
      <c r="D136" s="2" t="s">
        <v>585</v>
      </c>
      <c r="E136" s="2" t="s">
        <v>167</v>
      </c>
    </row>
    <row r="137" customFormat="false" ht="15" hidden="false" customHeight="false" outlineLevel="0" collapsed="false">
      <c r="A137" s="2" t="s">
        <v>183</v>
      </c>
      <c r="B137" s="2" t="s">
        <v>667</v>
      </c>
      <c r="C137" s="2" t="s">
        <v>638</v>
      </c>
      <c r="D137" s="2" t="s">
        <v>668</v>
      </c>
      <c r="E137" s="2" t="s">
        <v>166</v>
      </c>
    </row>
    <row r="138" customFormat="false" ht="15" hidden="false" customHeight="false" outlineLevel="0" collapsed="false">
      <c r="A138" s="2" t="s">
        <v>183</v>
      </c>
      <c r="B138" s="2" t="s">
        <v>669</v>
      </c>
      <c r="C138" s="2" t="s">
        <v>636</v>
      </c>
      <c r="D138" s="2" t="s">
        <v>670</v>
      </c>
      <c r="E138" s="2" t="s">
        <v>166</v>
      </c>
    </row>
    <row r="139" customFormat="false" ht="15" hidden="false" customHeight="false" outlineLevel="0" collapsed="false">
      <c r="A139" s="2" t="s">
        <v>183</v>
      </c>
      <c r="B139" s="2" t="s">
        <v>671</v>
      </c>
      <c r="C139" s="2" t="s">
        <v>632</v>
      </c>
      <c r="D139" s="2" t="s">
        <v>672</v>
      </c>
      <c r="E139" s="2" t="s">
        <v>166</v>
      </c>
    </row>
    <row r="140" customFormat="false" ht="15" hidden="false" customHeight="false" outlineLevel="0" collapsed="false">
      <c r="A140" s="2" t="s">
        <v>183</v>
      </c>
      <c r="B140" s="2" t="s">
        <v>675</v>
      </c>
      <c r="C140" s="2" t="s">
        <v>632</v>
      </c>
      <c r="D140" s="2" t="s">
        <v>523</v>
      </c>
      <c r="E140" s="2" t="s">
        <v>168</v>
      </c>
    </row>
    <row r="141" customFormat="false" ht="15" hidden="false" customHeight="false" outlineLevel="0" collapsed="false">
      <c r="A141" s="2" t="s">
        <v>183</v>
      </c>
      <c r="B141" s="2" t="s">
        <v>412</v>
      </c>
      <c r="C141" s="2" t="s">
        <v>632</v>
      </c>
      <c r="D141" s="2" t="s">
        <v>523</v>
      </c>
      <c r="E141" s="2" t="s">
        <v>168</v>
      </c>
    </row>
    <row r="142" customFormat="false" ht="15" hidden="false" customHeight="false" outlineLevel="0" collapsed="false">
      <c r="A142" s="2" t="s">
        <v>183</v>
      </c>
      <c r="B142" s="2" t="s">
        <v>693</v>
      </c>
      <c r="C142" s="2" t="s">
        <v>632</v>
      </c>
      <c r="D142" s="2" t="s">
        <v>523</v>
      </c>
      <c r="E142" s="2" t="s">
        <v>170</v>
      </c>
    </row>
    <row r="143" customFormat="false" ht="15" hidden="false" customHeight="false" outlineLevel="0" collapsed="false">
      <c r="A143" s="2" t="s">
        <v>183</v>
      </c>
      <c r="B143" s="2" t="s">
        <v>694</v>
      </c>
      <c r="C143" s="2" t="s">
        <v>633</v>
      </c>
      <c r="D143" s="2" t="s">
        <v>677</v>
      </c>
      <c r="E143" s="2" t="s">
        <v>166</v>
      </c>
    </row>
    <row r="144" customFormat="false" ht="15" hidden="false" customHeight="false" outlineLevel="0" collapsed="false">
      <c r="A144" s="2" t="s">
        <v>183</v>
      </c>
      <c r="B144" s="2" t="s">
        <v>678</v>
      </c>
      <c r="C144" s="2" t="s">
        <v>634</v>
      </c>
      <c r="D144" s="2" t="s">
        <v>679</v>
      </c>
      <c r="E144" s="2" t="s">
        <v>166</v>
      </c>
    </row>
    <row r="145" customFormat="false" ht="15" hidden="false" customHeight="false" outlineLevel="0" collapsed="false">
      <c r="A145" s="2" t="s">
        <v>183</v>
      </c>
      <c r="B145" s="2" t="s">
        <v>680</v>
      </c>
      <c r="C145" s="2" t="s">
        <v>629</v>
      </c>
      <c r="D145" s="2" t="s">
        <v>703</v>
      </c>
      <c r="E145" s="2" t="s">
        <v>166</v>
      </c>
    </row>
    <row r="146" customFormat="false" ht="15" hidden="false" customHeight="false" outlineLevel="0" collapsed="false">
      <c r="A146" s="2" t="s">
        <v>183</v>
      </c>
      <c r="B146" s="2" t="s">
        <v>370</v>
      </c>
      <c r="C146" s="2" t="s">
        <v>627</v>
      </c>
      <c r="D146" s="2" t="s">
        <v>682</v>
      </c>
      <c r="E146" s="2" t="s">
        <v>166</v>
      </c>
    </row>
    <row r="147" customFormat="false" ht="15" hidden="false" customHeight="false" outlineLevel="0" collapsed="false">
      <c r="A147" s="2" t="s">
        <v>183</v>
      </c>
      <c r="B147" s="2" t="s">
        <v>684</v>
      </c>
      <c r="C147" s="2" t="s">
        <v>627</v>
      </c>
      <c r="D147" s="2" t="s">
        <v>402</v>
      </c>
      <c r="E147" s="2" t="s">
        <v>168</v>
      </c>
    </row>
    <row r="148" customFormat="false" ht="15" hidden="false" customHeight="false" outlineLevel="0" collapsed="false">
      <c r="A148" s="2" t="s">
        <v>183</v>
      </c>
      <c r="B148" s="2" t="s">
        <v>410</v>
      </c>
      <c r="C148" s="2" t="s">
        <v>627</v>
      </c>
      <c r="D148" s="2" t="s">
        <v>402</v>
      </c>
      <c r="E148" s="2" t="s">
        <v>168</v>
      </c>
    </row>
    <row r="149" customFormat="false" ht="15" hidden="false" customHeight="false" outlineLevel="0" collapsed="false">
      <c r="A149" s="2" t="s">
        <v>183</v>
      </c>
      <c r="B149" s="2" t="s">
        <v>685</v>
      </c>
      <c r="C149" s="2" t="s">
        <v>627</v>
      </c>
      <c r="D149" s="2" t="s">
        <v>402</v>
      </c>
      <c r="E149" s="2" t="s">
        <v>170</v>
      </c>
    </row>
    <row r="150" customFormat="false" ht="15" hidden="false" customHeight="false" outlineLevel="0" collapsed="false">
      <c r="A150" s="2" t="s">
        <v>183</v>
      </c>
      <c r="B150" s="2" t="s">
        <v>686</v>
      </c>
      <c r="C150" s="2" t="s">
        <v>628</v>
      </c>
      <c r="D150" s="2" t="s">
        <v>687</v>
      </c>
      <c r="E150" s="2" t="s">
        <v>166</v>
      </c>
    </row>
    <row r="151" customFormat="false" ht="15" hidden="false" customHeight="false" outlineLevel="0" collapsed="false">
      <c r="A151" s="2" t="s">
        <v>183</v>
      </c>
      <c r="B151" s="2" t="s">
        <v>688</v>
      </c>
      <c r="C151" s="2" t="s">
        <v>645</v>
      </c>
      <c r="D151" s="2" t="s">
        <v>373</v>
      </c>
      <c r="E151" s="2" t="s">
        <v>170</v>
      </c>
    </row>
    <row r="152" customFormat="false" ht="15" hidden="false" customHeight="false" outlineLevel="0" collapsed="false">
      <c r="A152" s="2" t="s">
        <v>183</v>
      </c>
      <c r="B152" s="2" t="s">
        <v>689</v>
      </c>
      <c r="C152" s="2" t="s">
        <v>645</v>
      </c>
      <c r="D152" s="2" t="s">
        <v>690</v>
      </c>
      <c r="E152" s="2" t="s">
        <v>167</v>
      </c>
    </row>
    <row r="153" customFormat="false" ht="15" hidden="false" customHeight="false" outlineLevel="0" collapsed="false">
      <c r="A153" s="2" t="s">
        <v>183</v>
      </c>
      <c r="B153" s="2" t="s">
        <v>691</v>
      </c>
      <c r="C153" s="2" t="s">
        <v>645</v>
      </c>
      <c r="D153" s="2" t="s">
        <v>690</v>
      </c>
      <c r="E153" s="2" t="s">
        <v>167</v>
      </c>
    </row>
    <row r="154" customFormat="false" ht="15" hidden="false" customHeight="false" outlineLevel="0" collapsed="false">
      <c r="A154" s="2" t="s">
        <v>185</v>
      </c>
      <c r="B154" s="2" t="s">
        <v>649</v>
      </c>
      <c r="C154" s="2" t="s">
        <v>635</v>
      </c>
      <c r="D154" s="2" t="s">
        <v>487</v>
      </c>
      <c r="E154" s="2" t="s">
        <v>166</v>
      </c>
    </row>
    <row r="155" customFormat="false" ht="15" hidden="false" customHeight="false" outlineLevel="0" collapsed="false">
      <c r="A155" s="2" t="s">
        <v>185</v>
      </c>
      <c r="B155" s="2" t="s">
        <v>650</v>
      </c>
      <c r="C155" s="2" t="s">
        <v>635</v>
      </c>
      <c r="D155" s="2" t="s">
        <v>651</v>
      </c>
      <c r="E155" s="2" t="s">
        <v>169</v>
      </c>
    </row>
    <row r="156" customFormat="false" ht="15" hidden="false" customHeight="false" outlineLevel="0" collapsed="false">
      <c r="A156" s="2" t="s">
        <v>185</v>
      </c>
      <c r="B156" s="2" t="s">
        <v>652</v>
      </c>
      <c r="C156" s="2" t="s">
        <v>635</v>
      </c>
      <c r="D156" s="2" t="s">
        <v>653</v>
      </c>
      <c r="E156" s="2" t="s">
        <v>169</v>
      </c>
    </row>
    <row r="157" customFormat="false" ht="15" hidden="false" customHeight="false" outlineLevel="0" collapsed="false">
      <c r="A157" s="2" t="s">
        <v>185</v>
      </c>
      <c r="B157" s="2" t="s">
        <v>654</v>
      </c>
      <c r="C157" s="2" t="s">
        <v>635</v>
      </c>
      <c r="D157" s="2" t="s">
        <v>655</v>
      </c>
      <c r="E157" s="2" t="s">
        <v>169</v>
      </c>
    </row>
    <row r="158" customFormat="false" ht="15" hidden="false" customHeight="false" outlineLevel="0" collapsed="false">
      <c r="A158" s="2" t="s">
        <v>185</v>
      </c>
      <c r="B158" s="2" t="s">
        <v>656</v>
      </c>
      <c r="C158" s="2" t="s">
        <v>642</v>
      </c>
      <c r="D158" s="2" t="s">
        <v>487</v>
      </c>
      <c r="E158" s="2" t="s">
        <v>166</v>
      </c>
    </row>
    <row r="159" customFormat="false" ht="15" hidden="false" customHeight="false" outlineLevel="0" collapsed="false">
      <c r="A159" s="2" t="s">
        <v>185</v>
      </c>
      <c r="B159" s="2" t="s">
        <v>320</v>
      </c>
      <c r="C159" s="2" t="s">
        <v>642</v>
      </c>
      <c r="D159" s="2" t="s">
        <v>657</v>
      </c>
      <c r="E159" s="2" t="s">
        <v>169</v>
      </c>
    </row>
    <row r="160" customFormat="false" ht="15" hidden="false" customHeight="false" outlineLevel="0" collapsed="false">
      <c r="A160" s="2" t="s">
        <v>185</v>
      </c>
      <c r="B160" s="2" t="s">
        <v>658</v>
      </c>
      <c r="C160" s="2" t="s">
        <v>642</v>
      </c>
      <c r="D160" s="2" t="s">
        <v>487</v>
      </c>
      <c r="E160" s="2" t="s">
        <v>166</v>
      </c>
    </row>
    <row r="161" customFormat="false" ht="15" hidden="false" customHeight="false" outlineLevel="0" collapsed="false">
      <c r="A161" s="2" t="s">
        <v>185</v>
      </c>
      <c r="B161" s="2" t="s">
        <v>324</v>
      </c>
      <c r="C161" s="2" t="s">
        <v>642</v>
      </c>
      <c r="D161" s="2" t="s">
        <v>610</v>
      </c>
      <c r="E161" s="2" t="s">
        <v>166</v>
      </c>
    </row>
    <row r="162" customFormat="false" ht="15" hidden="false" customHeight="false" outlineLevel="0" collapsed="false">
      <c r="A162" s="2" t="s">
        <v>185</v>
      </c>
      <c r="B162" s="2" t="s">
        <v>660</v>
      </c>
      <c r="C162" s="2" t="s">
        <v>640</v>
      </c>
      <c r="D162" s="2" t="s">
        <v>355</v>
      </c>
      <c r="E162" s="2" t="s">
        <v>166</v>
      </c>
    </row>
    <row r="163" customFormat="false" ht="15" hidden="false" customHeight="false" outlineLevel="0" collapsed="false">
      <c r="A163" s="2" t="s">
        <v>185</v>
      </c>
      <c r="B163" s="2" t="s">
        <v>661</v>
      </c>
      <c r="C163" s="2" t="s">
        <v>641</v>
      </c>
      <c r="D163" s="2" t="s">
        <v>355</v>
      </c>
      <c r="E163" s="2" t="s">
        <v>166</v>
      </c>
    </row>
    <row r="164" customFormat="false" ht="15" hidden="false" customHeight="false" outlineLevel="0" collapsed="false">
      <c r="A164" s="2" t="s">
        <v>185</v>
      </c>
      <c r="B164" s="2" t="s">
        <v>662</v>
      </c>
      <c r="C164" s="2" t="s">
        <v>630</v>
      </c>
      <c r="D164" s="2" t="s">
        <v>585</v>
      </c>
      <c r="E164" s="2" t="s">
        <v>167</v>
      </c>
    </row>
    <row r="165" customFormat="false" ht="15" hidden="false" customHeight="false" outlineLevel="0" collapsed="false">
      <c r="A165" s="2" t="s">
        <v>185</v>
      </c>
      <c r="B165" s="2" t="s">
        <v>663</v>
      </c>
      <c r="C165" s="2" t="s">
        <v>631</v>
      </c>
      <c r="D165" s="2" t="s">
        <v>698</v>
      </c>
      <c r="E165" s="2" t="s">
        <v>166</v>
      </c>
    </row>
    <row r="166" customFormat="false" ht="15" hidden="false" customHeight="false" outlineLevel="0" collapsed="false">
      <c r="A166" s="2" t="s">
        <v>185</v>
      </c>
      <c r="B166" s="2" t="s">
        <v>665</v>
      </c>
      <c r="C166" s="2" t="s">
        <v>631</v>
      </c>
      <c r="D166" s="2" t="s">
        <v>699</v>
      </c>
      <c r="E166" s="2" t="s">
        <v>169</v>
      </c>
    </row>
    <row r="167" customFormat="false" ht="15" hidden="false" customHeight="false" outlineLevel="0" collapsed="false">
      <c r="A167" s="2" t="s">
        <v>185</v>
      </c>
      <c r="B167" s="2" t="s">
        <v>667</v>
      </c>
      <c r="C167" s="2" t="s">
        <v>638</v>
      </c>
      <c r="D167" s="2" t="s">
        <v>668</v>
      </c>
      <c r="E167" s="2" t="s">
        <v>166</v>
      </c>
    </row>
    <row r="168" customFormat="false" ht="15" hidden="false" customHeight="false" outlineLevel="0" collapsed="false">
      <c r="A168" s="2" t="s">
        <v>185</v>
      </c>
      <c r="B168" s="2" t="s">
        <v>669</v>
      </c>
      <c r="C168" s="2" t="s">
        <v>636</v>
      </c>
      <c r="D168" s="2" t="s">
        <v>670</v>
      </c>
      <c r="E168" s="2" t="s">
        <v>166</v>
      </c>
    </row>
    <row r="169" customFormat="false" ht="15" hidden="false" customHeight="false" outlineLevel="0" collapsed="false">
      <c r="A169" s="2" t="s">
        <v>185</v>
      </c>
      <c r="B169" s="2" t="s">
        <v>671</v>
      </c>
      <c r="C169" s="2" t="s">
        <v>632</v>
      </c>
      <c r="D169" s="2" t="s">
        <v>672</v>
      </c>
      <c r="E169" s="2" t="s">
        <v>166</v>
      </c>
    </row>
    <row r="170" customFormat="false" ht="15" hidden="false" customHeight="false" outlineLevel="0" collapsed="false">
      <c r="A170" s="2" t="s">
        <v>185</v>
      </c>
      <c r="B170" s="2" t="s">
        <v>673</v>
      </c>
      <c r="C170" s="2" t="s">
        <v>632</v>
      </c>
      <c r="D170" s="2" t="s">
        <v>523</v>
      </c>
      <c r="E170" s="2" t="s">
        <v>168</v>
      </c>
    </row>
    <row r="171" customFormat="false" ht="15" hidden="false" customHeight="false" outlineLevel="0" collapsed="false">
      <c r="A171" s="2" t="s">
        <v>185</v>
      </c>
      <c r="B171" s="2" t="s">
        <v>674</v>
      </c>
      <c r="C171" s="2" t="s">
        <v>632</v>
      </c>
      <c r="D171" s="2" t="s">
        <v>523</v>
      </c>
      <c r="E171" s="2" t="s">
        <v>168</v>
      </c>
    </row>
    <row r="172" customFormat="false" ht="15" hidden="false" customHeight="false" outlineLevel="0" collapsed="false">
      <c r="A172" s="2" t="s">
        <v>185</v>
      </c>
      <c r="B172" s="2" t="s">
        <v>675</v>
      </c>
      <c r="C172" s="2" t="s">
        <v>632</v>
      </c>
      <c r="D172" s="2" t="s">
        <v>523</v>
      </c>
      <c r="E172" s="2" t="s">
        <v>168</v>
      </c>
    </row>
    <row r="173" customFormat="false" ht="15" hidden="false" customHeight="false" outlineLevel="0" collapsed="false">
      <c r="A173" s="2" t="s">
        <v>185</v>
      </c>
      <c r="B173" s="2" t="s">
        <v>412</v>
      </c>
      <c r="C173" s="2" t="s">
        <v>632</v>
      </c>
      <c r="D173" s="2" t="s">
        <v>523</v>
      </c>
      <c r="E173" s="2" t="s">
        <v>168</v>
      </c>
    </row>
    <row r="174" customFormat="false" ht="15" hidden="false" customHeight="false" outlineLevel="0" collapsed="false">
      <c r="A174" s="2" t="s">
        <v>185</v>
      </c>
      <c r="B174" s="2" t="s">
        <v>676</v>
      </c>
      <c r="C174" s="2" t="s">
        <v>633</v>
      </c>
      <c r="D174" s="2" t="s">
        <v>677</v>
      </c>
      <c r="E174" s="2" t="s">
        <v>166</v>
      </c>
    </row>
    <row r="175" customFormat="false" ht="15" hidden="false" customHeight="false" outlineLevel="0" collapsed="false">
      <c r="A175" s="2" t="s">
        <v>185</v>
      </c>
      <c r="B175" s="2" t="s">
        <v>678</v>
      </c>
      <c r="C175" s="2" t="s">
        <v>634</v>
      </c>
      <c r="D175" s="2" t="s">
        <v>695</v>
      </c>
      <c r="E175" s="2" t="s">
        <v>169</v>
      </c>
    </row>
    <row r="176" customFormat="false" ht="15" hidden="false" customHeight="false" outlineLevel="0" collapsed="false">
      <c r="A176" s="2" t="s">
        <v>185</v>
      </c>
      <c r="B176" s="2" t="s">
        <v>680</v>
      </c>
      <c r="C176" s="2" t="s">
        <v>629</v>
      </c>
      <c r="D176" s="2" t="s">
        <v>703</v>
      </c>
      <c r="E176" s="2" t="s">
        <v>166</v>
      </c>
    </row>
    <row r="177" customFormat="false" ht="15" hidden="false" customHeight="false" outlineLevel="0" collapsed="false">
      <c r="A177" s="2" t="s">
        <v>185</v>
      </c>
      <c r="B177" s="2" t="s">
        <v>370</v>
      </c>
      <c r="C177" s="2" t="s">
        <v>627</v>
      </c>
      <c r="D177" s="2" t="s">
        <v>682</v>
      </c>
      <c r="E177" s="2" t="s">
        <v>166</v>
      </c>
    </row>
    <row r="178" customFormat="false" ht="15" hidden="false" customHeight="false" outlineLevel="0" collapsed="false">
      <c r="A178" s="2" t="s">
        <v>185</v>
      </c>
      <c r="B178" s="2" t="s">
        <v>683</v>
      </c>
      <c r="C178" s="2" t="s">
        <v>627</v>
      </c>
      <c r="D178" s="2" t="s">
        <v>402</v>
      </c>
      <c r="E178" s="2" t="s">
        <v>168</v>
      </c>
    </row>
    <row r="179" customFormat="false" ht="15" hidden="false" customHeight="false" outlineLevel="0" collapsed="false">
      <c r="A179" s="2" t="s">
        <v>185</v>
      </c>
      <c r="B179" s="2" t="s">
        <v>684</v>
      </c>
      <c r="C179" s="2" t="s">
        <v>627</v>
      </c>
      <c r="D179" s="2" t="s">
        <v>402</v>
      </c>
      <c r="E179" s="2" t="s">
        <v>168</v>
      </c>
    </row>
    <row r="180" customFormat="false" ht="15" hidden="false" customHeight="false" outlineLevel="0" collapsed="false">
      <c r="A180" s="2" t="s">
        <v>185</v>
      </c>
      <c r="B180" s="2" t="s">
        <v>410</v>
      </c>
      <c r="C180" s="2" t="s">
        <v>627</v>
      </c>
      <c r="D180" s="2" t="s">
        <v>402</v>
      </c>
      <c r="E180" s="2" t="s">
        <v>168</v>
      </c>
    </row>
    <row r="181" customFormat="false" ht="15" hidden="false" customHeight="false" outlineLevel="0" collapsed="false">
      <c r="A181" s="2" t="s">
        <v>185</v>
      </c>
      <c r="B181" s="2" t="s">
        <v>685</v>
      </c>
      <c r="C181" s="2" t="s">
        <v>627</v>
      </c>
      <c r="D181" s="2" t="s">
        <v>402</v>
      </c>
      <c r="E181" s="2" t="s">
        <v>170</v>
      </c>
    </row>
    <row r="182" customFormat="false" ht="15" hidden="false" customHeight="false" outlineLevel="0" collapsed="false">
      <c r="A182" s="2" t="s">
        <v>185</v>
      </c>
      <c r="B182" s="2" t="s">
        <v>686</v>
      </c>
      <c r="C182" s="2" t="s">
        <v>628</v>
      </c>
      <c r="D182" s="2" t="s">
        <v>687</v>
      </c>
      <c r="E182" s="2" t="s">
        <v>166</v>
      </c>
    </row>
    <row r="183" customFormat="false" ht="15" hidden="false" customHeight="false" outlineLevel="0" collapsed="false">
      <c r="A183" s="2" t="s">
        <v>185</v>
      </c>
      <c r="B183" s="2" t="s">
        <v>705</v>
      </c>
      <c r="C183" s="2" t="s">
        <v>639</v>
      </c>
      <c r="D183" s="2" t="s">
        <v>598</v>
      </c>
      <c r="E183" s="2" t="s">
        <v>170</v>
      </c>
    </row>
    <row r="184" customFormat="false" ht="15" hidden="false" customHeight="false" outlineLevel="0" collapsed="false">
      <c r="A184" s="2" t="s">
        <v>185</v>
      </c>
      <c r="B184" s="2" t="s">
        <v>705</v>
      </c>
      <c r="C184" s="2" t="s">
        <v>639</v>
      </c>
      <c r="D184" s="2" t="s">
        <v>598</v>
      </c>
      <c r="E184" s="2" t="s">
        <v>170</v>
      </c>
    </row>
    <row r="185" customFormat="false" ht="15" hidden="false" customHeight="false" outlineLevel="0" collapsed="false">
      <c r="A185" s="2" t="s">
        <v>185</v>
      </c>
      <c r="B185" s="2" t="s">
        <v>688</v>
      </c>
      <c r="C185" s="2" t="s">
        <v>645</v>
      </c>
      <c r="D185" s="2" t="s">
        <v>373</v>
      </c>
      <c r="E185" s="2" t="s">
        <v>170</v>
      </c>
    </row>
    <row r="186" customFormat="false" ht="15" hidden="false" customHeight="false" outlineLevel="0" collapsed="false">
      <c r="A186" s="2" t="s">
        <v>187</v>
      </c>
      <c r="B186" s="2" t="s">
        <v>649</v>
      </c>
      <c r="C186" s="2" t="s">
        <v>635</v>
      </c>
      <c r="D186" s="2" t="s">
        <v>487</v>
      </c>
      <c r="E186" s="2" t="s">
        <v>166</v>
      </c>
    </row>
    <row r="187" customFormat="false" ht="15" hidden="false" customHeight="false" outlineLevel="0" collapsed="false">
      <c r="A187" s="2" t="s">
        <v>187</v>
      </c>
      <c r="B187" s="2" t="s">
        <v>650</v>
      </c>
      <c r="C187" s="2" t="s">
        <v>635</v>
      </c>
      <c r="D187" s="2" t="s">
        <v>651</v>
      </c>
      <c r="E187" s="2" t="s">
        <v>169</v>
      </c>
    </row>
    <row r="188" customFormat="false" ht="15" hidden="false" customHeight="false" outlineLevel="0" collapsed="false">
      <c r="A188" s="2" t="s">
        <v>187</v>
      </c>
      <c r="B188" s="2" t="s">
        <v>652</v>
      </c>
      <c r="C188" s="2" t="s">
        <v>635</v>
      </c>
      <c r="D188" s="2" t="s">
        <v>653</v>
      </c>
      <c r="E188" s="2" t="s">
        <v>169</v>
      </c>
    </row>
    <row r="189" customFormat="false" ht="15" hidden="false" customHeight="false" outlineLevel="0" collapsed="false">
      <c r="A189" s="2" t="s">
        <v>187</v>
      </c>
      <c r="B189" s="2" t="s">
        <v>654</v>
      </c>
      <c r="C189" s="2" t="s">
        <v>635</v>
      </c>
      <c r="D189" s="2" t="s">
        <v>655</v>
      </c>
      <c r="E189" s="2" t="s">
        <v>169</v>
      </c>
    </row>
    <row r="190" customFormat="false" ht="15" hidden="false" customHeight="false" outlineLevel="0" collapsed="false">
      <c r="A190" s="2" t="s">
        <v>187</v>
      </c>
      <c r="B190" s="2" t="s">
        <v>656</v>
      </c>
      <c r="C190" s="2" t="s">
        <v>642</v>
      </c>
      <c r="D190" s="2" t="s">
        <v>487</v>
      </c>
      <c r="E190" s="2" t="s">
        <v>166</v>
      </c>
    </row>
    <row r="191" customFormat="false" ht="15" hidden="false" customHeight="false" outlineLevel="0" collapsed="false">
      <c r="A191" s="2" t="s">
        <v>187</v>
      </c>
      <c r="B191" s="2" t="s">
        <v>320</v>
      </c>
      <c r="C191" s="2" t="s">
        <v>642</v>
      </c>
      <c r="D191" s="2" t="s">
        <v>657</v>
      </c>
      <c r="E191" s="2" t="s">
        <v>169</v>
      </c>
    </row>
    <row r="192" customFormat="false" ht="15" hidden="false" customHeight="false" outlineLevel="0" collapsed="false">
      <c r="A192" s="2" t="s">
        <v>187</v>
      </c>
      <c r="B192" s="2" t="s">
        <v>658</v>
      </c>
      <c r="C192" s="2" t="s">
        <v>642</v>
      </c>
      <c r="D192" s="2" t="s">
        <v>487</v>
      </c>
      <c r="E192" s="2" t="s">
        <v>166</v>
      </c>
    </row>
    <row r="193" customFormat="false" ht="15" hidden="false" customHeight="false" outlineLevel="0" collapsed="false">
      <c r="A193" s="2" t="s">
        <v>187</v>
      </c>
      <c r="B193" s="2" t="s">
        <v>324</v>
      </c>
      <c r="C193" s="2" t="s">
        <v>642</v>
      </c>
      <c r="D193" s="2" t="s">
        <v>659</v>
      </c>
      <c r="E193" s="2" t="s">
        <v>169</v>
      </c>
    </row>
    <row r="194" customFormat="false" ht="15" hidden="false" customHeight="false" outlineLevel="0" collapsed="false">
      <c r="A194" s="2" t="s">
        <v>187</v>
      </c>
      <c r="B194" s="2" t="s">
        <v>704</v>
      </c>
      <c r="C194" s="2" t="s">
        <v>643</v>
      </c>
      <c r="D194" s="2" t="s">
        <v>494</v>
      </c>
      <c r="E194" s="2" t="s">
        <v>167</v>
      </c>
    </row>
    <row r="195" customFormat="false" ht="15" hidden="false" customHeight="false" outlineLevel="0" collapsed="false">
      <c r="A195" s="2" t="s">
        <v>187</v>
      </c>
      <c r="B195" s="2" t="s">
        <v>660</v>
      </c>
      <c r="C195" s="2" t="s">
        <v>640</v>
      </c>
      <c r="D195" s="2" t="s">
        <v>355</v>
      </c>
      <c r="E195" s="2" t="s">
        <v>166</v>
      </c>
    </row>
    <row r="196" customFormat="false" ht="15" hidden="false" customHeight="false" outlineLevel="0" collapsed="false">
      <c r="A196" s="2" t="s">
        <v>187</v>
      </c>
      <c r="B196" s="2" t="s">
        <v>661</v>
      </c>
      <c r="C196" s="2" t="s">
        <v>641</v>
      </c>
      <c r="D196" s="2" t="s">
        <v>355</v>
      </c>
      <c r="E196" s="2" t="s">
        <v>166</v>
      </c>
    </row>
    <row r="197" customFormat="false" ht="15" hidden="false" customHeight="false" outlineLevel="0" collapsed="false">
      <c r="A197" s="2" t="s">
        <v>187</v>
      </c>
      <c r="B197" s="2" t="s">
        <v>662</v>
      </c>
      <c r="C197" s="2" t="s">
        <v>630</v>
      </c>
      <c r="D197" s="2" t="s">
        <v>585</v>
      </c>
      <c r="E197" s="2" t="s">
        <v>167</v>
      </c>
    </row>
    <row r="198" customFormat="false" ht="15" hidden="false" customHeight="false" outlineLevel="0" collapsed="false">
      <c r="A198" s="2" t="s">
        <v>187</v>
      </c>
      <c r="B198" s="2" t="s">
        <v>667</v>
      </c>
      <c r="C198" s="2" t="s">
        <v>638</v>
      </c>
      <c r="D198" s="2" t="s">
        <v>668</v>
      </c>
      <c r="E198" s="2" t="s">
        <v>166</v>
      </c>
    </row>
    <row r="199" customFormat="false" ht="15" hidden="false" customHeight="false" outlineLevel="0" collapsed="false">
      <c r="A199" s="2" t="s">
        <v>187</v>
      </c>
      <c r="B199" s="2" t="s">
        <v>669</v>
      </c>
      <c r="C199" s="2" t="s">
        <v>636</v>
      </c>
      <c r="D199" s="2" t="s">
        <v>670</v>
      </c>
      <c r="E199" s="2" t="s">
        <v>166</v>
      </c>
    </row>
    <row r="200" customFormat="false" ht="15" hidden="false" customHeight="false" outlineLevel="0" collapsed="false">
      <c r="A200" s="2" t="s">
        <v>187</v>
      </c>
      <c r="B200" s="2" t="s">
        <v>700</v>
      </c>
      <c r="C200" s="2" t="s">
        <v>558</v>
      </c>
      <c r="D200" s="2" t="s">
        <v>701</v>
      </c>
      <c r="E200" s="2" t="s">
        <v>166</v>
      </c>
    </row>
    <row r="201" customFormat="false" ht="15" hidden="false" customHeight="false" outlineLevel="0" collapsed="false">
      <c r="A201" s="2" t="s">
        <v>187</v>
      </c>
      <c r="B201" s="2" t="s">
        <v>671</v>
      </c>
      <c r="C201" s="2" t="s">
        <v>632</v>
      </c>
      <c r="D201" s="2" t="s">
        <v>672</v>
      </c>
      <c r="E201" s="2" t="s">
        <v>166</v>
      </c>
    </row>
    <row r="202" customFormat="false" ht="15" hidden="false" customHeight="false" outlineLevel="0" collapsed="false">
      <c r="A202" s="2" t="s">
        <v>187</v>
      </c>
      <c r="B202" s="2" t="s">
        <v>673</v>
      </c>
      <c r="C202" s="2" t="s">
        <v>632</v>
      </c>
      <c r="D202" s="2" t="s">
        <v>523</v>
      </c>
      <c r="E202" s="2" t="s">
        <v>168</v>
      </c>
    </row>
    <row r="203" customFormat="false" ht="15" hidden="false" customHeight="false" outlineLevel="0" collapsed="false">
      <c r="A203" s="2" t="s">
        <v>187</v>
      </c>
      <c r="B203" s="2" t="s">
        <v>674</v>
      </c>
      <c r="C203" s="2" t="s">
        <v>632</v>
      </c>
      <c r="D203" s="2" t="s">
        <v>523</v>
      </c>
      <c r="E203" s="2" t="s">
        <v>168</v>
      </c>
    </row>
    <row r="204" customFormat="false" ht="15" hidden="false" customHeight="false" outlineLevel="0" collapsed="false">
      <c r="A204" s="2" t="s">
        <v>187</v>
      </c>
      <c r="B204" s="2" t="s">
        <v>692</v>
      </c>
      <c r="C204" s="2" t="s">
        <v>632</v>
      </c>
      <c r="D204" s="2" t="s">
        <v>523</v>
      </c>
      <c r="E204" s="2" t="s">
        <v>168</v>
      </c>
    </row>
    <row r="205" customFormat="false" ht="15" hidden="false" customHeight="false" outlineLevel="0" collapsed="false">
      <c r="A205" s="2" t="s">
        <v>187</v>
      </c>
      <c r="B205" s="2" t="s">
        <v>675</v>
      </c>
      <c r="C205" s="2" t="s">
        <v>632</v>
      </c>
      <c r="D205" s="2" t="s">
        <v>523</v>
      </c>
      <c r="E205" s="2" t="s">
        <v>168</v>
      </c>
    </row>
    <row r="206" customFormat="false" ht="15" hidden="false" customHeight="false" outlineLevel="0" collapsed="false">
      <c r="A206" s="2" t="s">
        <v>187</v>
      </c>
      <c r="B206" s="2" t="s">
        <v>412</v>
      </c>
      <c r="C206" s="2" t="s">
        <v>632</v>
      </c>
      <c r="D206" s="2" t="s">
        <v>523</v>
      </c>
      <c r="E206" s="2" t="s">
        <v>168</v>
      </c>
    </row>
    <row r="207" customFormat="false" ht="15" hidden="false" customHeight="false" outlineLevel="0" collapsed="false">
      <c r="A207" s="2" t="s">
        <v>187</v>
      </c>
      <c r="B207" s="2" t="s">
        <v>694</v>
      </c>
      <c r="C207" s="2" t="s">
        <v>633</v>
      </c>
      <c r="D207" s="2" t="s">
        <v>677</v>
      </c>
      <c r="E207" s="2" t="s">
        <v>166</v>
      </c>
    </row>
    <row r="208" customFormat="false" ht="15" hidden="false" customHeight="false" outlineLevel="0" collapsed="false">
      <c r="A208" s="2" t="s">
        <v>187</v>
      </c>
      <c r="B208" s="2" t="s">
        <v>678</v>
      </c>
      <c r="C208" s="2" t="s">
        <v>634</v>
      </c>
      <c r="D208" s="2" t="s">
        <v>695</v>
      </c>
      <c r="E208" s="2" t="s">
        <v>169</v>
      </c>
    </row>
    <row r="209" customFormat="false" ht="15" hidden="false" customHeight="false" outlineLevel="0" collapsed="false">
      <c r="A209" s="2" t="s">
        <v>187</v>
      </c>
      <c r="B209" s="2" t="s">
        <v>680</v>
      </c>
      <c r="C209" s="2" t="s">
        <v>629</v>
      </c>
      <c r="D209" s="2" t="s">
        <v>681</v>
      </c>
      <c r="E209" s="2" t="s">
        <v>169</v>
      </c>
    </row>
    <row r="210" customFormat="false" ht="15" hidden="false" customHeight="false" outlineLevel="0" collapsed="false">
      <c r="A210" s="2" t="s">
        <v>187</v>
      </c>
      <c r="B210" s="2" t="s">
        <v>370</v>
      </c>
      <c r="C210" s="2" t="s">
        <v>627</v>
      </c>
      <c r="D210" s="2" t="s">
        <v>682</v>
      </c>
      <c r="E210" s="2" t="s">
        <v>166</v>
      </c>
    </row>
    <row r="211" customFormat="false" ht="15" hidden="false" customHeight="false" outlineLevel="0" collapsed="false">
      <c r="A211" s="2" t="s">
        <v>187</v>
      </c>
      <c r="B211" s="2" t="s">
        <v>684</v>
      </c>
      <c r="C211" s="2" t="s">
        <v>627</v>
      </c>
      <c r="D211" s="2" t="s">
        <v>402</v>
      </c>
      <c r="E211" s="2" t="s">
        <v>168</v>
      </c>
    </row>
    <row r="212" customFormat="false" ht="15" hidden="false" customHeight="false" outlineLevel="0" collapsed="false">
      <c r="A212" s="2" t="s">
        <v>187</v>
      </c>
      <c r="B212" s="2" t="s">
        <v>410</v>
      </c>
      <c r="C212" s="2" t="s">
        <v>627</v>
      </c>
      <c r="D212" s="2" t="s">
        <v>402</v>
      </c>
      <c r="E212" s="2" t="s">
        <v>168</v>
      </c>
    </row>
    <row r="213" customFormat="false" ht="15" hidden="false" customHeight="false" outlineLevel="0" collapsed="false">
      <c r="A213" s="2" t="s">
        <v>187</v>
      </c>
      <c r="B213" s="2" t="s">
        <v>685</v>
      </c>
      <c r="C213" s="2" t="s">
        <v>627</v>
      </c>
      <c r="D213" s="2" t="s">
        <v>402</v>
      </c>
      <c r="E213" s="2" t="s">
        <v>170</v>
      </c>
    </row>
    <row r="214" customFormat="false" ht="15" hidden="false" customHeight="false" outlineLevel="0" collapsed="false">
      <c r="A214" s="2" t="s">
        <v>187</v>
      </c>
      <c r="B214" s="2" t="s">
        <v>686</v>
      </c>
      <c r="C214" s="2" t="s">
        <v>628</v>
      </c>
      <c r="D214" s="2" t="s">
        <v>687</v>
      </c>
      <c r="E214" s="2" t="s">
        <v>166</v>
      </c>
    </row>
    <row r="215" customFormat="false" ht="15" hidden="false" customHeight="false" outlineLevel="0" collapsed="false">
      <c r="A215" s="2" t="s">
        <v>187</v>
      </c>
      <c r="B215" s="2" t="s">
        <v>688</v>
      </c>
      <c r="C215" s="2" t="s">
        <v>645</v>
      </c>
      <c r="D215" s="2" t="s">
        <v>373</v>
      </c>
      <c r="E215" s="2" t="s">
        <v>170</v>
      </c>
    </row>
    <row r="216" customFormat="false" ht="15" hidden="false" customHeight="false" outlineLevel="0" collapsed="false">
      <c r="A216" s="2" t="s">
        <v>187</v>
      </c>
      <c r="B216" s="2" t="s">
        <v>689</v>
      </c>
      <c r="C216" s="2" t="s">
        <v>645</v>
      </c>
      <c r="D216" s="2" t="s">
        <v>690</v>
      </c>
      <c r="E216" s="2" t="s">
        <v>167</v>
      </c>
    </row>
    <row r="217" customFormat="false" ht="15" hidden="false" customHeight="false" outlineLevel="0" collapsed="false">
      <c r="A217" s="2" t="s">
        <v>187</v>
      </c>
      <c r="B217" s="2" t="s">
        <v>691</v>
      </c>
      <c r="C217" s="2" t="s">
        <v>645</v>
      </c>
      <c r="D217" s="2" t="s">
        <v>690</v>
      </c>
      <c r="E217" s="2" t="s">
        <v>167</v>
      </c>
    </row>
    <row r="218" customFormat="false" ht="15" hidden="false" customHeight="false" outlineLevel="0" collapsed="false">
      <c r="A218" s="2" t="s">
        <v>190</v>
      </c>
      <c r="B218" s="2" t="s">
        <v>649</v>
      </c>
      <c r="C218" s="2" t="s">
        <v>635</v>
      </c>
      <c r="D218" s="2" t="s">
        <v>487</v>
      </c>
      <c r="E218" s="2" t="s">
        <v>166</v>
      </c>
    </row>
    <row r="219" customFormat="false" ht="15" hidden="false" customHeight="false" outlineLevel="0" collapsed="false">
      <c r="A219" s="2" t="s">
        <v>190</v>
      </c>
      <c r="B219" s="2" t="s">
        <v>650</v>
      </c>
      <c r="C219" s="2" t="s">
        <v>635</v>
      </c>
      <c r="D219" s="2" t="s">
        <v>651</v>
      </c>
      <c r="E219" s="2" t="s">
        <v>169</v>
      </c>
    </row>
    <row r="220" customFormat="false" ht="15" hidden="false" customHeight="false" outlineLevel="0" collapsed="false">
      <c r="A220" s="2" t="s">
        <v>190</v>
      </c>
      <c r="B220" s="2" t="s">
        <v>652</v>
      </c>
      <c r="C220" s="2" t="s">
        <v>635</v>
      </c>
      <c r="D220" s="2" t="s">
        <v>653</v>
      </c>
      <c r="E220" s="2" t="s">
        <v>169</v>
      </c>
    </row>
    <row r="221" customFormat="false" ht="15" hidden="false" customHeight="false" outlineLevel="0" collapsed="false">
      <c r="A221" s="2" t="s">
        <v>190</v>
      </c>
      <c r="B221" s="2" t="s">
        <v>654</v>
      </c>
      <c r="C221" s="2" t="s">
        <v>635</v>
      </c>
      <c r="D221" s="2" t="s">
        <v>655</v>
      </c>
      <c r="E221" s="2" t="s">
        <v>169</v>
      </c>
    </row>
    <row r="222" customFormat="false" ht="15" hidden="false" customHeight="false" outlineLevel="0" collapsed="false">
      <c r="A222" s="2" t="s">
        <v>190</v>
      </c>
      <c r="B222" s="2" t="s">
        <v>656</v>
      </c>
      <c r="C222" s="2" t="s">
        <v>642</v>
      </c>
      <c r="D222" s="2" t="s">
        <v>487</v>
      </c>
      <c r="E222" s="2" t="s">
        <v>166</v>
      </c>
    </row>
    <row r="223" customFormat="false" ht="15" hidden="false" customHeight="false" outlineLevel="0" collapsed="false">
      <c r="A223" s="2" t="s">
        <v>190</v>
      </c>
      <c r="B223" s="2" t="s">
        <v>320</v>
      </c>
      <c r="C223" s="2" t="s">
        <v>642</v>
      </c>
      <c r="D223" s="2" t="s">
        <v>657</v>
      </c>
      <c r="E223" s="2" t="s">
        <v>169</v>
      </c>
    </row>
    <row r="224" customFormat="false" ht="15" hidden="false" customHeight="false" outlineLevel="0" collapsed="false">
      <c r="A224" s="2" t="s">
        <v>190</v>
      </c>
      <c r="B224" s="2" t="s">
        <v>658</v>
      </c>
      <c r="C224" s="2" t="s">
        <v>642</v>
      </c>
      <c r="D224" s="2" t="s">
        <v>487</v>
      </c>
      <c r="E224" s="2" t="s">
        <v>166</v>
      </c>
    </row>
    <row r="225" customFormat="false" ht="15" hidden="false" customHeight="false" outlineLevel="0" collapsed="false">
      <c r="A225" s="2" t="s">
        <v>190</v>
      </c>
      <c r="B225" s="2" t="s">
        <v>324</v>
      </c>
      <c r="C225" s="2" t="s">
        <v>642</v>
      </c>
      <c r="D225" s="2" t="s">
        <v>659</v>
      </c>
      <c r="E225" s="2" t="s">
        <v>169</v>
      </c>
    </row>
    <row r="226" customFormat="false" ht="15" hidden="false" customHeight="false" outlineLevel="0" collapsed="false">
      <c r="A226" s="2" t="s">
        <v>190</v>
      </c>
      <c r="B226" s="2" t="s">
        <v>660</v>
      </c>
      <c r="C226" s="2" t="s">
        <v>640</v>
      </c>
      <c r="D226" s="2" t="s">
        <v>355</v>
      </c>
      <c r="E226" s="2" t="s">
        <v>166</v>
      </c>
    </row>
    <row r="227" customFormat="false" ht="15" hidden="false" customHeight="false" outlineLevel="0" collapsed="false">
      <c r="A227" s="2" t="s">
        <v>190</v>
      </c>
      <c r="B227" s="2" t="s">
        <v>661</v>
      </c>
      <c r="C227" s="2" t="s">
        <v>641</v>
      </c>
      <c r="D227" s="2" t="s">
        <v>355</v>
      </c>
      <c r="E227" s="2" t="s">
        <v>166</v>
      </c>
    </row>
    <row r="228" customFormat="false" ht="15" hidden="false" customHeight="false" outlineLevel="0" collapsed="false">
      <c r="A228" s="2" t="s">
        <v>190</v>
      </c>
      <c r="B228" s="2" t="s">
        <v>662</v>
      </c>
      <c r="C228" s="2" t="s">
        <v>630</v>
      </c>
      <c r="D228" s="2" t="s">
        <v>585</v>
      </c>
      <c r="E228" s="2" t="s">
        <v>167</v>
      </c>
    </row>
    <row r="229" customFormat="false" ht="15" hidden="false" customHeight="false" outlineLevel="0" collapsed="false">
      <c r="A229" s="2" t="s">
        <v>190</v>
      </c>
      <c r="B229" s="2" t="s">
        <v>663</v>
      </c>
      <c r="C229" s="2" t="s">
        <v>631</v>
      </c>
      <c r="D229" s="2" t="s">
        <v>664</v>
      </c>
      <c r="E229" s="2" t="s">
        <v>166</v>
      </c>
    </row>
    <row r="230" customFormat="false" ht="15" hidden="false" customHeight="false" outlineLevel="0" collapsed="false">
      <c r="A230" s="2" t="s">
        <v>190</v>
      </c>
      <c r="B230" s="2" t="s">
        <v>665</v>
      </c>
      <c r="C230" s="2" t="s">
        <v>631</v>
      </c>
      <c r="D230" s="2" t="s">
        <v>666</v>
      </c>
      <c r="E230" s="2" t="s">
        <v>169</v>
      </c>
    </row>
    <row r="231" customFormat="false" ht="15" hidden="false" customHeight="false" outlineLevel="0" collapsed="false">
      <c r="A231" s="2" t="s">
        <v>190</v>
      </c>
      <c r="B231" s="2" t="s">
        <v>667</v>
      </c>
      <c r="C231" s="2" t="s">
        <v>638</v>
      </c>
      <c r="D231" s="2" t="s">
        <v>668</v>
      </c>
      <c r="E231" s="2" t="s">
        <v>166</v>
      </c>
    </row>
    <row r="232" customFormat="false" ht="15" hidden="false" customHeight="false" outlineLevel="0" collapsed="false">
      <c r="A232" s="2" t="s">
        <v>190</v>
      </c>
      <c r="B232" s="2" t="s">
        <v>669</v>
      </c>
      <c r="C232" s="2" t="s">
        <v>636</v>
      </c>
      <c r="D232" s="2" t="s">
        <v>670</v>
      </c>
      <c r="E232" s="2" t="s">
        <v>166</v>
      </c>
    </row>
    <row r="233" customFormat="false" ht="15" hidden="false" customHeight="false" outlineLevel="0" collapsed="false">
      <c r="A233" s="2" t="s">
        <v>190</v>
      </c>
      <c r="B233" s="2" t="s">
        <v>671</v>
      </c>
      <c r="C233" s="2" t="s">
        <v>632</v>
      </c>
      <c r="D233" s="2" t="s">
        <v>672</v>
      </c>
      <c r="E233" s="2" t="s">
        <v>166</v>
      </c>
    </row>
    <row r="234" customFormat="false" ht="15" hidden="false" customHeight="false" outlineLevel="0" collapsed="false">
      <c r="A234" s="2" t="s">
        <v>190</v>
      </c>
      <c r="B234" s="2" t="s">
        <v>675</v>
      </c>
      <c r="C234" s="2" t="s">
        <v>632</v>
      </c>
      <c r="D234" s="2" t="s">
        <v>523</v>
      </c>
      <c r="E234" s="2" t="s">
        <v>168</v>
      </c>
    </row>
    <row r="235" customFormat="false" ht="15" hidden="false" customHeight="false" outlineLevel="0" collapsed="false">
      <c r="A235" s="2" t="s">
        <v>190</v>
      </c>
      <c r="B235" s="2" t="s">
        <v>412</v>
      </c>
      <c r="C235" s="2" t="s">
        <v>632</v>
      </c>
      <c r="D235" s="2" t="s">
        <v>523</v>
      </c>
      <c r="E235" s="2" t="s">
        <v>168</v>
      </c>
    </row>
    <row r="236" customFormat="false" ht="15" hidden="false" customHeight="false" outlineLevel="0" collapsed="false">
      <c r="A236" s="2" t="s">
        <v>190</v>
      </c>
      <c r="B236" s="2" t="s">
        <v>693</v>
      </c>
      <c r="C236" s="2" t="s">
        <v>632</v>
      </c>
      <c r="D236" s="2" t="s">
        <v>523</v>
      </c>
      <c r="E236" s="2" t="s">
        <v>170</v>
      </c>
    </row>
    <row r="237" customFormat="false" ht="15" hidden="false" customHeight="false" outlineLevel="0" collapsed="false">
      <c r="A237" s="2" t="s">
        <v>190</v>
      </c>
      <c r="B237" s="2" t="s">
        <v>694</v>
      </c>
      <c r="C237" s="2" t="s">
        <v>633</v>
      </c>
      <c r="D237" s="2" t="s">
        <v>677</v>
      </c>
      <c r="E237" s="2" t="s">
        <v>166</v>
      </c>
    </row>
    <row r="238" customFormat="false" ht="15" hidden="false" customHeight="false" outlineLevel="0" collapsed="false">
      <c r="A238" s="2" t="s">
        <v>190</v>
      </c>
      <c r="B238" s="2" t="s">
        <v>678</v>
      </c>
      <c r="C238" s="2" t="s">
        <v>634</v>
      </c>
      <c r="D238" s="2" t="s">
        <v>679</v>
      </c>
      <c r="E238" s="2" t="s">
        <v>166</v>
      </c>
    </row>
    <row r="239" customFormat="false" ht="15" hidden="false" customHeight="false" outlineLevel="0" collapsed="false">
      <c r="A239" s="2" t="s">
        <v>190</v>
      </c>
      <c r="B239" s="2" t="s">
        <v>680</v>
      </c>
      <c r="C239" s="2" t="s">
        <v>629</v>
      </c>
      <c r="D239" s="2" t="s">
        <v>681</v>
      </c>
      <c r="E239" s="2" t="s">
        <v>169</v>
      </c>
    </row>
    <row r="240" customFormat="false" ht="15" hidden="false" customHeight="false" outlineLevel="0" collapsed="false">
      <c r="A240" s="2" t="s">
        <v>190</v>
      </c>
      <c r="B240" s="2" t="s">
        <v>370</v>
      </c>
      <c r="C240" s="2" t="s">
        <v>627</v>
      </c>
      <c r="D240" s="2" t="s">
        <v>682</v>
      </c>
      <c r="E240" s="2" t="s">
        <v>166</v>
      </c>
    </row>
    <row r="241" customFormat="false" ht="15" hidden="false" customHeight="false" outlineLevel="0" collapsed="false">
      <c r="A241" s="2" t="s">
        <v>190</v>
      </c>
      <c r="B241" s="2" t="s">
        <v>696</v>
      </c>
      <c r="C241" s="2" t="s">
        <v>627</v>
      </c>
      <c r="D241" s="2" t="s">
        <v>402</v>
      </c>
      <c r="E241" s="2" t="s">
        <v>168</v>
      </c>
    </row>
    <row r="242" customFormat="false" ht="15" hidden="false" customHeight="false" outlineLevel="0" collapsed="false">
      <c r="A242" s="2" t="s">
        <v>190</v>
      </c>
      <c r="B242" s="2" t="s">
        <v>697</v>
      </c>
      <c r="C242" s="2" t="s">
        <v>627</v>
      </c>
      <c r="D242" s="2" t="s">
        <v>402</v>
      </c>
      <c r="E242" s="2" t="s">
        <v>168</v>
      </c>
    </row>
    <row r="243" customFormat="false" ht="15" hidden="false" customHeight="false" outlineLevel="0" collapsed="false">
      <c r="A243" s="2" t="s">
        <v>190</v>
      </c>
      <c r="B243" s="2" t="s">
        <v>683</v>
      </c>
      <c r="C243" s="2" t="s">
        <v>627</v>
      </c>
      <c r="D243" s="2" t="s">
        <v>402</v>
      </c>
      <c r="E243" s="2" t="s">
        <v>168</v>
      </c>
    </row>
    <row r="244" customFormat="false" ht="15" hidden="false" customHeight="false" outlineLevel="0" collapsed="false">
      <c r="A244" s="2" t="s">
        <v>190</v>
      </c>
      <c r="B244" s="2" t="s">
        <v>684</v>
      </c>
      <c r="C244" s="2" t="s">
        <v>627</v>
      </c>
      <c r="D244" s="2" t="s">
        <v>402</v>
      </c>
      <c r="E244" s="2" t="s">
        <v>168</v>
      </c>
    </row>
    <row r="245" customFormat="false" ht="15" hidden="false" customHeight="false" outlineLevel="0" collapsed="false">
      <c r="A245" s="2" t="s">
        <v>190</v>
      </c>
      <c r="B245" s="2" t="s">
        <v>410</v>
      </c>
      <c r="C245" s="2" t="s">
        <v>627</v>
      </c>
      <c r="D245" s="2" t="s">
        <v>402</v>
      </c>
      <c r="E245" s="2" t="s">
        <v>168</v>
      </c>
    </row>
    <row r="246" customFormat="false" ht="15" hidden="false" customHeight="false" outlineLevel="0" collapsed="false">
      <c r="A246" s="2" t="s">
        <v>190</v>
      </c>
      <c r="B246" s="2" t="s">
        <v>686</v>
      </c>
      <c r="C246" s="2" t="s">
        <v>628</v>
      </c>
      <c r="D246" s="2" t="s">
        <v>687</v>
      </c>
      <c r="E246" s="2" t="s">
        <v>166</v>
      </c>
    </row>
    <row r="247" customFormat="false" ht="15" hidden="false" customHeight="false" outlineLevel="0" collapsed="false">
      <c r="A247" s="2" t="s">
        <v>190</v>
      </c>
      <c r="B247" s="2" t="s">
        <v>688</v>
      </c>
      <c r="C247" s="2" t="s">
        <v>645</v>
      </c>
      <c r="D247" s="2" t="s">
        <v>373</v>
      </c>
      <c r="E247" s="2" t="s">
        <v>170</v>
      </c>
    </row>
    <row r="248" customFormat="false" ht="15" hidden="false" customHeight="false" outlineLevel="0" collapsed="false">
      <c r="A248" s="2" t="s">
        <v>190</v>
      </c>
      <c r="B248" s="2" t="s">
        <v>689</v>
      </c>
      <c r="C248" s="2" t="s">
        <v>645</v>
      </c>
      <c r="D248" s="2" t="s">
        <v>690</v>
      </c>
      <c r="E248" s="2" t="s">
        <v>167</v>
      </c>
    </row>
    <row r="249" customFormat="false" ht="15" hidden="false" customHeight="false" outlineLevel="0" collapsed="false">
      <c r="A249" s="2" t="s">
        <v>190</v>
      </c>
      <c r="B249" s="2" t="s">
        <v>691</v>
      </c>
      <c r="C249" s="2" t="s">
        <v>645</v>
      </c>
      <c r="D249" s="2" t="s">
        <v>690</v>
      </c>
      <c r="E249" s="2" t="s">
        <v>167</v>
      </c>
    </row>
    <row r="250" customFormat="false" ht="15" hidden="false" customHeight="false" outlineLevel="0" collapsed="false">
      <c r="A250" s="2" t="s">
        <v>192</v>
      </c>
      <c r="B250" s="2" t="s">
        <v>649</v>
      </c>
      <c r="C250" s="2" t="s">
        <v>635</v>
      </c>
      <c r="D250" s="2" t="s">
        <v>487</v>
      </c>
      <c r="E250" s="2" t="s">
        <v>166</v>
      </c>
    </row>
    <row r="251" customFormat="false" ht="15" hidden="false" customHeight="false" outlineLevel="0" collapsed="false">
      <c r="A251" s="2" t="s">
        <v>192</v>
      </c>
      <c r="B251" s="2" t="s">
        <v>650</v>
      </c>
      <c r="C251" s="2" t="s">
        <v>635</v>
      </c>
      <c r="D251" s="2" t="s">
        <v>651</v>
      </c>
      <c r="E251" s="2" t="s">
        <v>169</v>
      </c>
    </row>
    <row r="252" customFormat="false" ht="15" hidden="false" customHeight="false" outlineLevel="0" collapsed="false">
      <c r="A252" s="2" t="s">
        <v>192</v>
      </c>
      <c r="B252" s="2" t="s">
        <v>652</v>
      </c>
      <c r="C252" s="2" t="s">
        <v>635</v>
      </c>
      <c r="D252" s="2" t="s">
        <v>653</v>
      </c>
      <c r="E252" s="2" t="s">
        <v>169</v>
      </c>
    </row>
    <row r="253" customFormat="false" ht="15" hidden="false" customHeight="false" outlineLevel="0" collapsed="false">
      <c r="A253" s="2" t="s">
        <v>192</v>
      </c>
      <c r="B253" s="2" t="s">
        <v>654</v>
      </c>
      <c r="C253" s="2" t="s">
        <v>635</v>
      </c>
      <c r="D253" s="2" t="s">
        <v>655</v>
      </c>
      <c r="E253" s="2" t="s">
        <v>169</v>
      </c>
    </row>
    <row r="254" customFormat="false" ht="15" hidden="false" customHeight="false" outlineLevel="0" collapsed="false">
      <c r="A254" s="2" t="s">
        <v>192</v>
      </c>
      <c r="B254" s="2" t="s">
        <v>706</v>
      </c>
      <c r="C254" s="2" t="s">
        <v>635</v>
      </c>
      <c r="D254" s="2" t="s">
        <v>548</v>
      </c>
      <c r="E254" s="2" t="s">
        <v>166</v>
      </c>
    </row>
    <row r="255" customFormat="false" ht="15" hidden="false" customHeight="false" outlineLevel="0" collapsed="false">
      <c r="A255" s="2" t="s">
        <v>192</v>
      </c>
      <c r="B255" s="2" t="s">
        <v>656</v>
      </c>
      <c r="C255" s="2" t="s">
        <v>642</v>
      </c>
      <c r="D255" s="2" t="s">
        <v>487</v>
      </c>
      <c r="E255" s="2" t="s">
        <v>166</v>
      </c>
    </row>
    <row r="256" customFormat="false" ht="15" hidden="false" customHeight="false" outlineLevel="0" collapsed="false">
      <c r="A256" s="2" t="s">
        <v>192</v>
      </c>
      <c r="B256" s="2" t="s">
        <v>320</v>
      </c>
      <c r="C256" s="2" t="s">
        <v>642</v>
      </c>
      <c r="D256" s="2" t="s">
        <v>657</v>
      </c>
      <c r="E256" s="2" t="s">
        <v>169</v>
      </c>
    </row>
    <row r="257" customFormat="false" ht="15" hidden="false" customHeight="false" outlineLevel="0" collapsed="false">
      <c r="A257" s="2" t="s">
        <v>192</v>
      </c>
      <c r="B257" s="2" t="s">
        <v>658</v>
      </c>
      <c r="C257" s="2" t="s">
        <v>642</v>
      </c>
      <c r="D257" s="2" t="s">
        <v>487</v>
      </c>
      <c r="E257" s="2" t="s">
        <v>166</v>
      </c>
    </row>
    <row r="258" customFormat="false" ht="15" hidden="false" customHeight="false" outlineLevel="0" collapsed="false">
      <c r="A258" s="2" t="s">
        <v>192</v>
      </c>
      <c r="B258" s="2" t="s">
        <v>324</v>
      </c>
      <c r="C258" s="2" t="s">
        <v>642</v>
      </c>
      <c r="D258" s="2" t="s">
        <v>610</v>
      </c>
      <c r="E258" s="2" t="s">
        <v>166</v>
      </c>
    </row>
    <row r="259" customFormat="false" ht="15" hidden="false" customHeight="false" outlineLevel="0" collapsed="false">
      <c r="A259" s="2" t="s">
        <v>192</v>
      </c>
      <c r="B259" s="2" t="s">
        <v>660</v>
      </c>
      <c r="C259" s="2" t="s">
        <v>640</v>
      </c>
      <c r="D259" s="2" t="s">
        <v>355</v>
      </c>
      <c r="E259" s="2" t="s">
        <v>166</v>
      </c>
    </row>
    <row r="260" customFormat="false" ht="15" hidden="false" customHeight="false" outlineLevel="0" collapsed="false">
      <c r="A260" s="2" t="s">
        <v>192</v>
      </c>
      <c r="B260" s="2" t="s">
        <v>661</v>
      </c>
      <c r="C260" s="2" t="s">
        <v>641</v>
      </c>
      <c r="D260" s="2" t="s">
        <v>355</v>
      </c>
      <c r="E260" s="2" t="s">
        <v>166</v>
      </c>
    </row>
    <row r="261" customFormat="false" ht="15" hidden="false" customHeight="false" outlineLevel="0" collapsed="false">
      <c r="A261" s="2" t="s">
        <v>192</v>
      </c>
      <c r="B261" s="2" t="s">
        <v>707</v>
      </c>
      <c r="C261" s="2" t="s">
        <v>637</v>
      </c>
      <c r="D261" s="2" t="s">
        <v>505</v>
      </c>
      <c r="E261" s="2" t="s">
        <v>166</v>
      </c>
    </row>
    <row r="262" customFormat="false" ht="15" hidden="false" customHeight="false" outlineLevel="0" collapsed="false">
      <c r="A262" s="2" t="s">
        <v>192</v>
      </c>
      <c r="B262" s="2" t="s">
        <v>662</v>
      </c>
      <c r="C262" s="2" t="s">
        <v>630</v>
      </c>
      <c r="D262" s="2" t="s">
        <v>585</v>
      </c>
      <c r="E262" s="2" t="s">
        <v>167</v>
      </c>
    </row>
    <row r="263" customFormat="false" ht="15" hidden="false" customHeight="false" outlineLevel="0" collapsed="false">
      <c r="A263" s="2" t="s">
        <v>192</v>
      </c>
      <c r="B263" s="2" t="s">
        <v>667</v>
      </c>
      <c r="C263" s="2" t="s">
        <v>638</v>
      </c>
      <c r="D263" s="2" t="s">
        <v>668</v>
      </c>
      <c r="E263" s="2" t="s">
        <v>166</v>
      </c>
    </row>
    <row r="264" customFormat="false" ht="15" hidden="false" customHeight="false" outlineLevel="0" collapsed="false">
      <c r="A264" s="2" t="s">
        <v>192</v>
      </c>
      <c r="B264" s="2" t="s">
        <v>669</v>
      </c>
      <c r="C264" s="2" t="s">
        <v>636</v>
      </c>
      <c r="D264" s="2" t="s">
        <v>670</v>
      </c>
      <c r="E264" s="2" t="s">
        <v>166</v>
      </c>
    </row>
    <row r="265" customFormat="false" ht="15" hidden="false" customHeight="false" outlineLevel="0" collapsed="false">
      <c r="A265" s="2" t="s">
        <v>192</v>
      </c>
      <c r="B265" s="2" t="s">
        <v>671</v>
      </c>
      <c r="C265" s="2" t="s">
        <v>632</v>
      </c>
      <c r="D265" s="2" t="s">
        <v>672</v>
      </c>
      <c r="E265" s="2" t="s">
        <v>166</v>
      </c>
    </row>
    <row r="266" customFormat="false" ht="15" hidden="false" customHeight="false" outlineLevel="0" collapsed="false">
      <c r="A266" s="2" t="s">
        <v>192</v>
      </c>
      <c r="B266" s="2" t="s">
        <v>692</v>
      </c>
      <c r="C266" s="2" t="s">
        <v>632</v>
      </c>
      <c r="D266" s="2" t="s">
        <v>523</v>
      </c>
      <c r="E266" s="2" t="s">
        <v>168</v>
      </c>
    </row>
    <row r="267" customFormat="false" ht="15" hidden="false" customHeight="false" outlineLevel="0" collapsed="false">
      <c r="A267" s="2" t="s">
        <v>192</v>
      </c>
      <c r="B267" s="2" t="s">
        <v>675</v>
      </c>
      <c r="C267" s="2" t="s">
        <v>632</v>
      </c>
      <c r="D267" s="2" t="s">
        <v>523</v>
      </c>
      <c r="E267" s="2" t="s">
        <v>168</v>
      </c>
    </row>
    <row r="268" customFormat="false" ht="15" hidden="false" customHeight="false" outlineLevel="0" collapsed="false">
      <c r="A268" s="2" t="s">
        <v>192</v>
      </c>
      <c r="B268" s="2" t="s">
        <v>412</v>
      </c>
      <c r="C268" s="2" t="s">
        <v>632</v>
      </c>
      <c r="D268" s="2" t="s">
        <v>523</v>
      </c>
      <c r="E268" s="2" t="s">
        <v>168</v>
      </c>
    </row>
    <row r="269" customFormat="false" ht="15" hidden="false" customHeight="false" outlineLevel="0" collapsed="false">
      <c r="A269" s="2" t="s">
        <v>192</v>
      </c>
      <c r="B269" s="2" t="s">
        <v>693</v>
      </c>
      <c r="C269" s="2" t="s">
        <v>632</v>
      </c>
      <c r="D269" s="2" t="s">
        <v>523</v>
      </c>
      <c r="E269" s="2" t="s">
        <v>170</v>
      </c>
    </row>
    <row r="270" customFormat="false" ht="15" hidden="false" customHeight="false" outlineLevel="0" collapsed="false">
      <c r="A270" s="2" t="s">
        <v>192</v>
      </c>
      <c r="B270" s="2" t="s">
        <v>694</v>
      </c>
      <c r="C270" s="2" t="s">
        <v>633</v>
      </c>
      <c r="D270" s="2" t="s">
        <v>677</v>
      </c>
      <c r="E270" s="2" t="s">
        <v>166</v>
      </c>
    </row>
    <row r="271" customFormat="false" ht="15" hidden="false" customHeight="false" outlineLevel="0" collapsed="false">
      <c r="A271" s="2" t="s">
        <v>192</v>
      </c>
      <c r="B271" s="2" t="s">
        <v>678</v>
      </c>
      <c r="C271" s="2" t="s">
        <v>634</v>
      </c>
      <c r="D271" s="2" t="s">
        <v>695</v>
      </c>
      <c r="E271" s="2" t="s">
        <v>169</v>
      </c>
    </row>
    <row r="272" customFormat="false" ht="15" hidden="false" customHeight="false" outlineLevel="0" collapsed="false">
      <c r="A272" s="2" t="s">
        <v>192</v>
      </c>
      <c r="B272" s="2" t="s">
        <v>680</v>
      </c>
      <c r="C272" s="2" t="s">
        <v>629</v>
      </c>
      <c r="D272" s="2" t="s">
        <v>703</v>
      </c>
      <c r="E272" s="2" t="s">
        <v>166</v>
      </c>
    </row>
    <row r="273" customFormat="false" ht="15" hidden="false" customHeight="false" outlineLevel="0" collapsed="false">
      <c r="A273" s="2" t="s">
        <v>192</v>
      </c>
      <c r="B273" s="2" t="s">
        <v>370</v>
      </c>
      <c r="C273" s="2" t="s">
        <v>627</v>
      </c>
      <c r="D273" s="2" t="s">
        <v>682</v>
      </c>
      <c r="E273" s="2" t="s">
        <v>166</v>
      </c>
    </row>
    <row r="274" customFormat="false" ht="15" hidden="false" customHeight="false" outlineLevel="0" collapsed="false">
      <c r="A274" s="2" t="s">
        <v>192</v>
      </c>
      <c r="B274" s="2" t="s">
        <v>683</v>
      </c>
      <c r="C274" s="2" t="s">
        <v>627</v>
      </c>
      <c r="D274" s="2" t="s">
        <v>402</v>
      </c>
      <c r="E274" s="2" t="s">
        <v>168</v>
      </c>
    </row>
    <row r="275" customFormat="false" ht="15" hidden="false" customHeight="false" outlineLevel="0" collapsed="false">
      <c r="A275" s="2" t="s">
        <v>192</v>
      </c>
      <c r="B275" s="2" t="s">
        <v>684</v>
      </c>
      <c r="C275" s="2" t="s">
        <v>627</v>
      </c>
      <c r="D275" s="2" t="s">
        <v>402</v>
      </c>
      <c r="E275" s="2" t="s">
        <v>168</v>
      </c>
    </row>
    <row r="276" customFormat="false" ht="15" hidden="false" customHeight="false" outlineLevel="0" collapsed="false">
      <c r="A276" s="2" t="s">
        <v>192</v>
      </c>
      <c r="B276" s="2" t="s">
        <v>410</v>
      </c>
      <c r="C276" s="2" t="s">
        <v>627</v>
      </c>
      <c r="D276" s="2" t="s">
        <v>402</v>
      </c>
      <c r="E276" s="2" t="s">
        <v>168</v>
      </c>
    </row>
    <row r="277" customFormat="false" ht="15" hidden="false" customHeight="false" outlineLevel="0" collapsed="false">
      <c r="A277" s="2" t="s">
        <v>192</v>
      </c>
      <c r="B277" s="2" t="s">
        <v>685</v>
      </c>
      <c r="C277" s="2" t="s">
        <v>627</v>
      </c>
      <c r="D277" s="2" t="s">
        <v>402</v>
      </c>
      <c r="E277" s="2" t="s">
        <v>170</v>
      </c>
    </row>
    <row r="278" customFormat="false" ht="15" hidden="false" customHeight="false" outlineLevel="0" collapsed="false">
      <c r="A278" s="2" t="s">
        <v>192</v>
      </c>
      <c r="B278" s="2" t="s">
        <v>708</v>
      </c>
      <c r="C278" s="2" t="s">
        <v>628</v>
      </c>
      <c r="D278" s="2" t="s">
        <v>687</v>
      </c>
      <c r="E278" s="2" t="s">
        <v>166</v>
      </c>
    </row>
    <row r="279" customFormat="false" ht="15" hidden="false" customHeight="false" outlineLevel="0" collapsed="false">
      <c r="A279" s="2" t="s">
        <v>192</v>
      </c>
      <c r="B279" s="2" t="s">
        <v>705</v>
      </c>
      <c r="C279" s="2" t="s">
        <v>639</v>
      </c>
      <c r="D279" s="2" t="s">
        <v>598</v>
      </c>
      <c r="E279" s="2" t="s">
        <v>170</v>
      </c>
    </row>
    <row r="280" customFormat="false" ht="15" hidden="false" customHeight="false" outlineLevel="0" collapsed="false">
      <c r="A280" s="2" t="s">
        <v>192</v>
      </c>
      <c r="B280" s="2" t="s">
        <v>705</v>
      </c>
      <c r="C280" s="2" t="s">
        <v>639</v>
      </c>
      <c r="D280" s="2" t="s">
        <v>598</v>
      </c>
      <c r="E280" s="2" t="s">
        <v>170</v>
      </c>
    </row>
    <row r="281" customFormat="false" ht="15" hidden="false" customHeight="false" outlineLevel="0" collapsed="false">
      <c r="A281" s="2" t="s">
        <v>192</v>
      </c>
      <c r="B281" s="2" t="s">
        <v>688</v>
      </c>
      <c r="C281" s="2" t="s">
        <v>645</v>
      </c>
      <c r="D281" s="2" t="s">
        <v>373</v>
      </c>
      <c r="E281" s="2" t="s">
        <v>170</v>
      </c>
    </row>
    <row r="282" customFormat="false" ht="15" hidden="false" customHeight="false" outlineLevel="0" collapsed="false">
      <c r="A282" s="2" t="s">
        <v>192</v>
      </c>
      <c r="B282" s="2" t="s">
        <v>689</v>
      </c>
      <c r="C282" s="2" t="s">
        <v>645</v>
      </c>
      <c r="D282" s="2" t="s">
        <v>690</v>
      </c>
      <c r="E282" s="2" t="s">
        <v>167</v>
      </c>
    </row>
    <row r="283" customFormat="false" ht="15" hidden="false" customHeight="false" outlineLevel="0" collapsed="false">
      <c r="A283" s="2" t="s">
        <v>192</v>
      </c>
      <c r="B283" s="2" t="s">
        <v>691</v>
      </c>
      <c r="C283" s="2" t="s">
        <v>645</v>
      </c>
      <c r="D283" s="2" t="s">
        <v>690</v>
      </c>
      <c r="E283" s="2" t="s">
        <v>167</v>
      </c>
    </row>
    <row r="284" customFormat="false" ht="15" hidden="false" customHeight="false" outlineLevel="0" collapsed="false">
      <c r="A284" s="2" t="s">
        <v>196</v>
      </c>
      <c r="B284" s="2" t="s">
        <v>649</v>
      </c>
      <c r="C284" s="2" t="s">
        <v>635</v>
      </c>
      <c r="D284" s="2" t="s">
        <v>487</v>
      </c>
      <c r="E284" s="2" t="s">
        <v>166</v>
      </c>
    </row>
    <row r="285" customFormat="false" ht="15" hidden="false" customHeight="false" outlineLevel="0" collapsed="false">
      <c r="A285" s="2" t="s">
        <v>196</v>
      </c>
      <c r="B285" s="2" t="s">
        <v>650</v>
      </c>
      <c r="C285" s="2" t="s">
        <v>635</v>
      </c>
      <c r="D285" s="2" t="s">
        <v>651</v>
      </c>
      <c r="E285" s="2" t="s">
        <v>169</v>
      </c>
    </row>
    <row r="286" customFormat="false" ht="15" hidden="false" customHeight="false" outlineLevel="0" collapsed="false">
      <c r="A286" s="2" t="s">
        <v>196</v>
      </c>
      <c r="B286" s="2" t="s">
        <v>652</v>
      </c>
      <c r="C286" s="2" t="s">
        <v>635</v>
      </c>
      <c r="D286" s="2" t="s">
        <v>653</v>
      </c>
      <c r="E286" s="2" t="s">
        <v>169</v>
      </c>
    </row>
    <row r="287" customFormat="false" ht="15" hidden="false" customHeight="false" outlineLevel="0" collapsed="false">
      <c r="A287" s="2" t="s">
        <v>196</v>
      </c>
      <c r="B287" s="2" t="s">
        <v>654</v>
      </c>
      <c r="C287" s="2" t="s">
        <v>635</v>
      </c>
      <c r="D287" s="2" t="s">
        <v>655</v>
      </c>
      <c r="E287" s="2" t="s">
        <v>169</v>
      </c>
    </row>
    <row r="288" customFormat="false" ht="15" hidden="false" customHeight="false" outlineLevel="0" collapsed="false">
      <c r="A288" s="2" t="s">
        <v>196</v>
      </c>
      <c r="B288" s="2" t="s">
        <v>656</v>
      </c>
      <c r="C288" s="2" t="s">
        <v>642</v>
      </c>
      <c r="D288" s="2" t="s">
        <v>487</v>
      </c>
      <c r="E288" s="2" t="s">
        <v>166</v>
      </c>
    </row>
    <row r="289" customFormat="false" ht="15" hidden="false" customHeight="false" outlineLevel="0" collapsed="false">
      <c r="A289" s="2" t="s">
        <v>196</v>
      </c>
      <c r="B289" s="2" t="s">
        <v>320</v>
      </c>
      <c r="C289" s="2" t="s">
        <v>642</v>
      </c>
      <c r="D289" s="2" t="s">
        <v>657</v>
      </c>
      <c r="E289" s="2" t="s">
        <v>169</v>
      </c>
    </row>
    <row r="290" customFormat="false" ht="15" hidden="false" customHeight="false" outlineLevel="0" collapsed="false">
      <c r="A290" s="2" t="s">
        <v>196</v>
      </c>
      <c r="B290" s="2" t="s">
        <v>658</v>
      </c>
      <c r="C290" s="2" t="s">
        <v>642</v>
      </c>
      <c r="D290" s="2" t="s">
        <v>487</v>
      </c>
      <c r="E290" s="2" t="s">
        <v>166</v>
      </c>
    </row>
    <row r="291" customFormat="false" ht="15" hidden="false" customHeight="false" outlineLevel="0" collapsed="false">
      <c r="A291" s="2" t="s">
        <v>196</v>
      </c>
      <c r="B291" s="2" t="s">
        <v>324</v>
      </c>
      <c r="C291" s="2" t="s">
        <v>642</v>
      </c>
      <c r="D291" s="2" t="s">
        <v>610</v>
      </c>
      <c r="E291" s="2" t="s">
        <v>166</v>
      </c>
    </row>
    <row r="292" customFormat="false" ht="15" hidden="false" customHeight="false" outlineLevel="0" collapsed="false">
      <c r="A292" s="2" t="s">
        <v>196</v>
      </c>
      <c r="B292" s="2" t="s">
        <v>660</v>
      </c>
      <c r="C292" s="2" t="s">
        <v>640</v>
      </c>
      <c r="D292" s="2" t="s">
        <v>355</v>
      </c>
      <c r="E292" s="2" t="s">
        <v>166</v>
      </c>
    </row>
    <row r="293" customFormat="false" ht="15" hidden="false" customHeight="false" outlineLevel="0" collapsed="false">
      <c r="A293" s="2" t="s">
        <v>196</v>
      </c>
      <c r="B293" s="2" t="s">
        <v>661</v>
      </c>
      <c r="C293" s="2" t="s">
        <v>641</v>
      </c>
      <c r="D293" s="2" t="s">
        <v>355</v>
      </c>
      <c r="E293" s="2" t="s">
        <v>166</v>
      </c>
    </row>
    <row r="294" customFormat="false" ht="15" hidden="false" customHeight="false" outlineLevel="0" collapsed="false">
      <c r="A294" s="2" t="s">
        <v>196</v>
      </c>
      <c r="B294" s="2" t="s">
        <v>662</v>
      </c>
      <c r="C294" s="2" t="s">
        <v>630</v>
      </c>
      <c r="D294" s="2" t="s">
        <v>585</v>
      </c>
      <c r="E294" s="2" t="s">
        <v>167</v>
      </c>
    </row>
    <row r="295" customFormat="false" ht="15" hidden="false" customHeight="false" outlineLevel="0" collapsed="false">
      <c r="A295" s="2" t="s">
        <v>196</v>
      </c>
      <c r="B295" s="2" t="s">
        <v>667</v>
      </c>
      <c r="C295" s="2" t="s">
        <v>638</v>
      </c>
      <c r="D295" s="2" t="s">
        <v>668</v>
      </c>
      <c r="E295" s="2" t="s">
        <v>166</v>
      </c>
    </row>
    <row r="296" customFormat="false" ht="15" hidden="false" customHeight="false" outlineLevel="0" collapsed="false">
      <c r="A296" s="2" t="s">
        <v>196</v>
      </c>
      <c r="B296" s="2" t="s">
        <v>669</v>
      </c>
      <c r="C296" s="2" t="s">
        <v>636</v>
      </c>
      <c r="D296" s="2" t="s">
        <v>670</v>
      </c>
      <c r="E296" s="2" t="s">
        <v>166</v>
      </c>
    </row>
    <row r="297" customFormat="false" ht="15" hidden="false" customHeight="false" outlineLevel="0" collapsed="false">
      <c r="A297" s="2" t="s">
        <v>196</v>
      </c>
      <c r="B297" s="2" t="s">
        <v>671</v>
      </c>
      <c r="C297" s="2" t="s">
        <v>632</v>
      </c>
      <c r="D297" s="2" t="s">
        <v>672</v>
      </c>
      <c r="E297" s="2" t="s">
        <v>166</v>
      </c>
    </row>
    <row r="298" customFormat="false" ht="15" hidden="false" customHeight="false" outlineLevel="0" collapsed="false">
      <c r="A298" s="2" t="s">
        <v>196</v>
      </c>
      <c r="B298" s="2" t="s">
        <v>673</v>
      </c>
      <c r="C298" s="2" t="s">
        <v>632</v>
      </c>
      <c r="D298" s="2" t="s">
        <v>523</v>
      </c>
      <c r="E298" s="2" t="s">
        <v>168</v>
      </c>
    </row>
    <row r="299" customFormat="false" ht="15" hidden="false" customHeight="false" outlineLevel="0" collapsed="false">
      <c r="A299" s="2" t="s">
        <v>196</v>
      </c>
      <c r="B299" s="2" t="s">
        <v>674</v>
      </c>
      <c r="C299" s="2" t="s">
        <v>632</v>
      </c>
      <c r="D299" s="2" t="s">
        <v>523</v>
      </c>
      <c r="E299" s="2" t="s">
        <v>168</v>
      </c>
    </row>
    <row r="300" customFormat="false" ht="15" hidden="false" customHeight="false" outlineLevel="0" collapsed="false">
      <c r="A300" s="2" t="s">
        <v>196</v>
      </c>
      <c r="B300" s="2" t="s">
        <v>692</v>
      </c>
      <c r="C300" s="2" t="s">
        <v>632</v>
      </c>
      <c r="D300" s="2" t="s">
        <v>523</v>
      </c>
      <c r="E300" s="2" t="s">
        <v>168</v>
      </c>
    </row>
    <row r="301" customFormat="false" ht="15" hidden="false" customHeight="false" outlineLevel="0" collapsed="false">
      <c r="A301" s="2" t="s">
        <v>196</v>
      </c>
      <c r="B301" s="2" t="s">
        <v>675</v>
      </c>
      <c r="C301" s="2" t="s">
        <v>632</v>
      </c>
      <c r="D301" s="2" t="s">
        <v>523</v>
      </c>
      <c r="E301" s="2" t="s">
        <v>168</v>
      </c>
    </row>
    <row r="302" customFormat="false" ht="15" hidden="false" customHeight="false" outlineLevel="0" collapsed="false">
      <c r="A302" s="2" t="s">
        <v>196</v>
      </c>
      <c r="B302" s="2" t="s">
        <v>702</v>
      </c>
      <c r="C302" s="2" t="s">
        <v>632</v>
      </c>
      <c r="D302" s="2" t="s">
        <v>523</v>
      </c>
      <c r="E302" s="2" t="s">
        <v>168</v>
      </c>
    </row>
    <row r="303" customFormat="false" ht="15" hidden="false" customHeight="false" outlineLevel="0" collapsed="false">
      <c r="A303" s="2" t="s">
        <v>196</v>
      </c>
      <c r="B303" s="2" t="s">
        <v>412</v>
      </c>
      <c r="C303" s="2" t="s">
        <v>632</v>
      </c>
      <c r="D303" s="2" t="s">
        <v>523</v>
      </c>
      <c r="E303" s="2" t="s">
        <v>168</v>
      </c>
    </row>
    <row r="304" customFormat="false" ht="15" hidden="false" customHeight="false" outlineLevel="0" collapsed="false">
      <c r="A304" s="2" t="s">
        <v>196</v>
      </c>
      <c r="B304" s="2" t="s">
        <v>676</v>
      </c>
      <c r="C304" s="2" t="s">
        <v>633</v>
      </c>
      <c r="D304" s="2" t="s">
        <v>677</v>
      </c>
      <c r="E304" s="2" t="s">
        <v>166</v>
      </c>
    </row>
    <row r="305" customFormat="false" ht="15" hidden="false" customHeight="false" outlineLevel="0" collapsed="false">
      <c r="A305" s="2" t="s">
        <v>196</v>
      </c>
      <c r="B305" s="2" t="s">
        <v>678</v>
      </c>
      <c r="C305" s="2" t="s">
        <v>634</v>
      </c>
      <c r="D305" s="2" t="s">
        <v>679</v>
      </c>
      <c r="E305" s="2" t="s">
        <v>166</v>
      </c>
    </row>
    <row r="306" customFormat="false" ht="15" hidden="false" customHeight="false" outlineLevel="0" collapsed="false">
      <c r="A306" s="2" t="s">
        <v>196</v>
      </c>
      <c r="B306" s="2" t="s">
        <v>680</v>
      </c>
      <c r="C306" s="2" t="s">
        <v>629</v>
      </c>
      <c r="D306" s="2" t="s">
        <v>681</v>
      </c>
      <c r="E306" s="2" t="s">
        <v>169</v>
      </c>
    </row>
    <row r="307" customFormat="false" ht="15" hidden="false" customHeight="false" outlineLevel="0" collapsed="false">
      <c r="A307" s="2" t="s">
        <v>196</v>
      </c>
      <c r="B307" s="2" t="s">
        <v>370</v>
      </c>
      <c r="C307" s="2" t="s">
        <v>627</v>
      </c>
      <c r="D307" s="2" t="s">
        <v>682</v>
      </c>
      <c r="E307" s="2" t="s">
        <v>166</v>
      </c>
    </row>
    <row r="308" customFormat="false" ht="15" hidden="false" customHeight="false" outlineLevel="0" collapsed="false">
      <c r="A308" s="2" t="s">
        <v>196</v>
      </c>
      <c r="B308" s="2" t="s">
        <v>685</v>
      </c>
      <c r="C308" s="2" t="s">
        <v>627</v>
      </c>
      <c r="D308" s="2" t="s">
        <v>402</v>
      </c>
      <c r="E308" s="2" t="s">
        <v>170</v>
      </c>
    </row>
    <row r="309" customFormat="false" ht="15" hidden="false" customHeight="false" outlineLevel="0" collapsed="false">
      <c r="A309" s="2" t="s">
        <v>196</v>
      </c>
      <c r="B309" s="2" t="s">
        <v>685</v>
      </c>
      <c r="C309" s="2" t="s">
        <v>627</v>
      </c>
      <c r="D309" s="2" t="s">
        <v>402</v>
      </c>
      <c r="E309" s="2" t="s">
        <v>170</v>
      </c>
    </row>
    <row r="310" customFormat="false" ht="15" hidden="false" customHeight="false" outlineLevel="0" collapsed="false">
      <c r="A310" s="2" t="s">
        <v>196</v>
      </c>
      <c r="B310" s="2" t="s">
        <v>686</v>
      </c>
      <c r="C310" s="2" t="s">
        <v>628</v>
      </c>
      <c r="D310" s="2" t="s">
        <v>687</v>
      </c>
      <c r="E310" s="2" t="s">
        <v>166</v>
      </c>
    </row>
    <row r="311" customFormat="false" ht="15" hidden="false" customHeight="false" outlineLevel="0" collapsed="false">
      <c r="A311" s="2" t="s">
        <v>196</v>
      </c>
      <c r="B311" s="2" t="s">
        <v>688</v>
      </c>
      <c r="C311" s="2" t="s">
        <v>645</v>
      </c>
      <c r="D311" s="2" t="s">
        <v>373</v>
      </c>
      <c r="E311" s="2" t="s">
        <v>170</v>
      </c>
    </row>
    <row r="312" customFormat="false" ht="15" hidden="false" customHeight="false" outlineLevel="0" collapsed="false">
      <c r="A312" s="2" t="s">
        <v>196</v>
      </c>
      <c r="B312" s="2" t="s">
        <v>709</v>
      </c>
      <c r="C312" s="2" t="s">
        <v>645</v>
      </c>
      <c r="D312" s="2" t="s">
        <v>710</v>
      </c>
      <c r="E312" s="2" t="s">
        <v>167</v>
      </c>
    </row>
    <row r="313" customFormat="false" ht="15" hidden="false" customHeight="false" outlineLevel="0" collapsed="false">
      <c r="A313" s="2" t="s">
        <v>198</v>
      </c>
      <c r="B313" s="2" t="s">
        <v>649</v>
      </c>
      <c r="C313" s="2" t="s">
        <v>635</v>
      </c>
      <c r="D313" s="2" t="s">
        <v>487</v>
      </c>
      <c r="E313" s="2" t="s">
        <v>166</v>
      </c>
    </row>
    <row r="314" customFormat="false" ht="15" hidden="false" customHeight="false" outlineLevel="0" collapsed="false">
      <c r="A314" s="2" t="s">
        <v>198</v>
      </c>
      <c r="B314" s="2" t="s">
        <v>650</v>
      </c>
      <c r="C314" s="2" t="s">
        <v>635</v>
      </c>
      <c r="D314" s="2" t="s">
        <v>651</v>
      </c>
      <c r="E314" s="2" t="s">
        <v>169</v>
      </c>
    </row>
    <row r="315" customFormat="false" ht="15" hidden="false" customHeight="false" outlineLevel="0" collapsed="false">
      <c r="A315" s="2" t="s">
        <v>198</v>
      </c>
      <c r="B315" s="2" t="s">
        <v>652</v>
      </c>
      <c r="C315" s="2" t="s">
        <v>635</v>
      </c>
      <c r="D315" s="2" t="s">
        <v>653</v>
      </c>
      <c r="E315" s="2" t="s">
        <v>169</v>
      </c>
    </row>
    <row r="316" customFormat="false" ht="15" hidden="false" customHeight="false" outlineLevel="0" collapsed="false">
      <c r="A316" s="2" t="s">
        <v>198</v>
      </c>
      <c r="B316" s="2" t="s">
        <v>654</v>
      </c>
      <c r="C316" s="2" t="s">
        <v>635</v>
      </c>
      <c r="D316" s="2" t="s">
        <v>655</v>
      </c>
      <c r="E316" s="2" t="s">
        <v>169</v>
      </c>
    </row>
    <row r="317" customFormat="false" ht="15" hidden="false" customHeight="false" outlineLevel="0" collapsed="false">
      <c r="A317" s="2" t="s">
        <v>198</v>
      </c>
      <c r="B317" s="2" t="s">
        <v>656</v>
      </c>
      <c r="C317" s="2" t="s">
        <v>642</v>
      </c>
      <c r="D317" s="2" t="s">
        <v>487</v>
      </c>
      <c r="E317" s="2" t="s">
        <v>166</v>
      </c>
    </row>
    <row r="318" customFormat="false" ht="15" hidden="false" customHeight="false" outlineLevel="0" collapsed="false">
      <c r="A318" s="2" t="s">
        <v>198</v>
      </c>
      <c r="B318" s="2" t="s">
        <v>320</v>
      </c>
      <c r="C318" s="2" t="s">
        <v>642</v>
      </c>
      <c r="D318" s="2" t="s">
        <v>657</v>
      </c>
      <c r="E318" s="2" t="s">
        <v>169</v>
      </c>
    </row>
    <row r="319" customFormat="false" ht="15" hidden="false" customHeight="false" outlineLevel="0" collapsed="false">
      <c r="A319" s="2" t="s">
        <v>198</v>
      </c>
      <c r="B319" s="2" t="s">
        <v>658</v>
      </c>
      <c r="C319" s="2" t="s">
        <v>642</v>
      </c>
      <c r="D319" s="2" t="s">
        <v>487</v>
      </c>
      <c r="E319" s="2" t="s">
        <v>166</v>
      </c>
    </row>
    <row r="320" customFormat="false" ht="15" hidden="false" customHeight="false" outlineLevel="0" collapsed="false">
      <c r="A320" s="2" t="s">
        <v>198</v>
      </c>
      <c r="B320" s="2" t="s">
        <v>324</v>
      </c>
      <c r="C320" s="2" t="s">
        <v>642</v>
      </c>
      <c r="D320" s="2" t="s">
        <v>610</v>
      </c>
      <c r="E320" s="2" t="s">
        <v>166</v>
      </c>
    </row>
    <row r="321" customFormat="false" ht="15" hidden="false" customHeight="false" outlineLevel="0" collapsed="false">
      <c r="A321" s="2" t="s">
        <v>198</v>
      </c>
      <c r="B321" s="2" t="s">
        <v>660</v>
      </c>
      <c r="C321" s="2" t="s">
        <v>640</v>
      </c>
      <c r="D321" s="2" t="s">
        <v>355</v>
      </c>
      <c r="E321" s="2" t="s">
        <v>166</v>
      </c>
    </row>
    <row r="322" customFormat="false" ht="15" hidden="false" customHeight="false" outlineLevel="0" collapsed="false">
      <c r="A322" s="2" t="s">
        <v>198</v>
      </c>
      <c r="B322" s="2" t="s">
        <v>661</v>
      </c>
      <c r="C322" s="2" t="s">
        <v>641</v>
      </c>
      <c r="D322" s="2" t="s">
        <v>355</v>
      </c>
      <c r="E322" s="2" t="s">
        <v>166</v>
      </c>
    </row>
    <row r="323" customFormat="false" ht="15" hidden="false" customHeight="false" outlineLevel="0" collapsed="false">
      <c r="A323" s="2" t="s">
        <v>198</v>
      </c>
      <c r="B323" s="2" t="s">
        <v>662</v>
      </c>
      <c r="C323" s="2" t="s">
        <v>630</v>
      </c>
      <c r="D323" s="2" t="s">
        <v>585</v>
      </c>
      <c r="E323" s="2" t="s">
        <v>167</v>
      </c>
    </row>
    <row r="324" customFormat="false" ht="15" hidden="false" customHeight="false" outlineLevel="0" collapsed="false">
      <c r="A324" s="2" t="s">
        <v>198</v>
      </c>
      <c r="B324" s="2" t="s">
        <v>667</v>
      </c>
      <c r="C324" s="2" t="s">
        <v>638</v>
      </c>
      <c r="D324" s="2" t="s">
        <v>668</v>
      </c>
      <c r="E324" s="2" t="s">
        <v>166</v>
      </c>
    </row>
    <row r="325" customFormat="false" ht="15" hidden="false" customHeight="false" outlineLevel="0" collapsed="false">
      <c r="A325" s="2" t="s">
        <v>198</v>
      </c>
      <c r="B325" s="2" t="s">
        <v>669</v>
      </c>
      <c r="C325" s="2" t="s">
        <v>636</v>
      </c>
      <c r="D325" s="2" t="s">
        <v>670</v>
      </c>
      <c r="E325" s="2" t="s">
        <v>166</v>
      </c>
    </row>
    <row r="326" customFormat="false" ht="15" hidden="false" customHeight="false" outlineLevel="0" collapsed="false">
      <c r="A326" s="2" t="s">
        <v>198</v>
      </c>
      <c r="B326" s="2" t="s">
        <v>671</v>
      </c>
      <c r="C326" s="2" t="s">
        <v>632</v>
      </c>
      <c r="D326" s="2" t="s">
        <v>672</v>
      </c>
      <c r="E326" s="2" t="s">
        <v>166</v>
      </c>
    </row>
    <row r="327" customFormat="false" ht="15" hidden="false" customHeight="false" outlineLevel="0" collapsed="false">
      <c r="A327" s="2" t="s">
        <v>198</v>
      </c>
      <c r="B327" s="2" t="s">
        <v>692</v>
      </c>
      <c r="C327" s="2" t="s">
        <v>632</v>
      </c>
      <c r="D327" s="2" t="s">
        <v>523</v>
      </c>
      <c r="E327" s="2" t="s">
        <v>168</v>
      </c>
    </row>
    <row r="328" customFormat="false" ht="15" hidden="false" customHeight="false" outlineLevel="0" collapsed="false">
      <c r="A328" s="2" t="s">
        <v>198</v>
      </c>
      <c r="B328" s="2" t="s">
        <v>675</v>
      </c>
      <c r="C328" s="2" t="s">
        <v>632</v>
      </c>
      <c r="D328" s="2" t="s">
        <v>523</v>
      </c>
      <c r="E328" s="2" t="s">
        <v>168</v>
      </c>
    </row>
    <row r="329" customFormat="false" ht="15" hidden="false" customHeight="false" outlineLevel="0" collapsed="false">
      <c r="A329" s="2" t="s">
        <v>198</v>
      </c>
      <c r="B329" s="2" t="s">
        <v>412</v>
      </c>
      <c r="C329" s="2" t="s">
        <v>632</v>
      </c>
      <c r="D329" s="2" t="s">
        <v>523</v>
      </c>
      <c r="E329" s="2" t="s">
        <v>168</v>
      </c>
    </row>
    <row r="330" customFormat="false" ht="15" hidden="false" customHeight="false" outlineLevel="0" collapsed="false">
      <c r="A330" s="2" t="s">
        <v>198</v>
      </c>
      <c r="B330" s="2" t="s">
        <v>693</v>
      </c>
      <c r="C330" s="2" t="s">
        <v>632</v>
      </c>
      <c r="D330" s="2" t="s">
        <v>523</v>
      </c>
      <c r="E330" s="2" t="s">
        <v>170</v>
      </c>
    </row>
    <row r="331" customFormat="false" ht="15" hidden="false" customHeight="false" outlineLevel="0" collapsed="false">
      <c r="A331" s="2" t="s">
        <v>198</v>
      </c>
      <c r="B331" s="2" t="s">
        <v>694</v>
      </c>
      <c r="C331" s="2" t="s">
        <v>633</v>
      </c>
      <c r="D331" s="2" t="s">
        <v>677</v>
      </c>
      <c r="E331" s="2" t="s">
        <v>166</v>
      </c>
    </row>
    <row r="332" customFormat="false" ht="15" hidden="false" customHeight="false" outlineLevel="0" collapsed="false">
      <c r="A332" s="2" t="s">
        <v>198</v>
      </c>
      <c r="B332" s="2" t="s">
        <v>678</v>
      </c>
      <c r="C332" s="2" t="s">
        <v>634</v>
      </c>
      <c r="D332" s="2" t="s">
        <v>695</v>
      </c>
      <c r="E332" s="2" t="s">
        <v>169</v>
      </c>
    </row>
    <row r="333" customFormat="false" ht="15" hidden="false" customHeight="false" outlineLevel="0" collapsed="false">
      <c r="A333" s="2" t="s">
        <v>198</v>
      </c>
      <c r="B333" s="2" t="s">
        <v>680</v>
      </c>
      <c r="C333" s="2" t="s">
        <v>629</v>
      </c>
      <c r="D333" s="2" t="s">
        <v>681</v>
      </c>
      <c r="E333" s="2" t="s">
        <v>169</v>
      </c>
    </row>
    <row r="334" customFormat="false" ht="15" hidden="false" customHeight="false" outlineLevel="0" collapsed="false">
      <c r="A334" s="2" t="s">
        <v>198</v>
      </c>
      <c r="B334" s="2" t="s">
        <v>370</v>
      </c>
      <c r="C334" s="2" t="s">
        <v>627</v>
      </c>
      <c r="D334" s="2" t="s">
        <v>682</v>
      </c>
      <c r="E334" s="2" t="s">
        <v>166</v>
      </c>
    </row>
    <row r="335" customFormat="false" ht="15" hidden="false" customHeight="false" outlineLevel="0" collapsed="false">
      <c r="A335" s="2" t="s">
        <v>198</v>
      </c>
      <c r="B335" s="2" t="s">
        <v>683</v>
      </c>
      <c r="C335" s="2" t="s">
        <v>627</v>
      </c>
      <c r="D335" s="2" t="s">
        <v>402</v>
      </c>
      <c r="E335" s="2" t="s">
        <v>168</v>
      </c>
    </row>
    <row r="336" customFormat="false" ht="15" hidden="false" customHeight="false" outlineLevel="0" collapsed="false">
      <c r="A336" s="2" t="s">
        <v>198</v>
      </c>
      <c r="B336" s="2" t="s">
        <v>684</v>
      </c>
      <c r="C336" s="2" t="s">
        <v>627</v>
      </c>
      <c r="D336" s="2" t="s">
        <v>402</v>
      </c>
      <c r="E336" s="2" t="s">
        <v>168</v>
      </c>
    </row>
    <row r="337" customFormat="false" ht="15" hidden="false" customHeight="false" outlineLevel="0" collapsed="false">
      <c r="A337" s="2" t="s">
        <v>198</v>
      </c>
      <c r="B337" s="2" t="s">
        <v>410</v>
      </c>
      <c r="C337" s="2" t="s">
        <v>627</v>
      </c>
      <c r="D337" s="2" t="s">
        <v>402</v>
      </c>
      <c r="E337" s="2" t="s">
        <v>168</v>
      </c>
    </row>
    <row r="338" customFormat="false" ht="15" hidden="false" customHeight="false" outlineLevel="0" collapsed="false">
      <c r="A338" s="2" t="s">
        <v>198</v>
      </c>
      <c r="B338" s="2" t="s">
        <v>685</v>
      </c>
      <c r="C338" s="2" t="s">
        <v>627</v>
      </c>
      <c r="D338" s="2" t="s">
        <v>402</v>
      </c>
      <c r="E338" s="2" t="s">
        <v>170</v>
      </c>
    </row>
    <row r="339" customFormat="false" ht="15" hidden="false" customHeight="false" outlineLevel="0" collapsed="false">
      <c r="A339" s="2" t="s">
        <v>198</v>
      </c>
      <c r="B339" s="2" t="s">
        <v>686</v>
      </c>
      <c r="C339" s="2" t="s">
        <v>628</v>
      </c>
      <c r="D339" s="2" t="s">
        <v>687</v>
      </c>
      <c r="E339" s="2" t="s">
        <v>166</v>
      </c>
    </row>
    <row r="340" customFormat="false" ht="15" hidden="false" customHeight="false" outlineLevel="0" collapsed="false">
      <c r="A340" s="2" t="s">
        <v>198</v>
      </c>
      <c r="B340" s="2" t="s">
        <v>688</v>
      </c>
      <c r="C340" s="2" t="s">
        <v>645</v>
      </c>
      <c r="D340" s="2" t="s">
        <v>373</v>
      </c>
      <c r="E340" s="2" t="s">
        <v>170</v>
      </c>
    </row>
    <row r="341" customFormat="false" ht="15" hidden="false" customHeight="false" outlineLevel="0" collapsed="false">
      <c r="A341" s="2" t="s">
        <v>198</v>
      </c>
      <c r="B341" s="2" t="s">
        <v>689</v>
      </c>
      <c r="C341" s="2" t="s">
        <v>645</v>
      </c>
      <c r="D341" s="2" t="s">
        <v>690</v>
      </c>
      <c r="E341" s="2" t="s">
        <v>167</v>
      </c>
    </row>
    <row r="342" customFormat="false" ht="15" hidden="false" customHeight="false" outlineLevel="0" collapsed="false">
      <c r="A342" s="2" t="s">
        <v>198</v>
      </c>
      <c r="B342" s="2" t="s">
        <v>691</v>
      </c>
      <c r="C342" s="2" t="s">
        <v>645</v>
      </c>
      <c r="D342" s="2" t="s">
        <v>690</v>
      </c>
      <c r="E342" s="2" t="s">
        <v>167</v>
      </c>
    </row>
    <row r="343" customFormat="false" ht="15" hidden="false" customHeight="false" outlineLevel="0" collapsed="false">
      <c r="A343" s="2" t="s">
        <v>200</v>
      </c>
      <c r="B343" s="2" t="s">
        <v>649</v>
      </c>
      <c r="C343" s="2" t="s">
        <v>635</v>
      </c>
      <c r="D343" s="2" t="s">
        <v>487</v>
      </c>
      <c r="E343" s="2" t="s">
        <v>166</v>
      </c>
    </row>
    <row r="344" customFormat="false" ht="15" hidden="false" customHeight="false" outlineLevel="0" collapsed="false">
      <c r="A344" s="2" t="s">
        <v>200</v>
      </c>
      <c r="B344" s="2" t="s">
        <v>650</v>
      </c>
      <c r="C344" s="2" t="s">
        <v>635</v>
      </c>
      <c r="D344" s="2" t="s">
        <v>651</v>
      </c>
      <c r="E344" s="2" t="s">
        <v>169</v>
      </c>
    </row>
    <row r="345" customFormat="false" ht="15" hidden="false" customHeight="false" outlineLevel="0" collapsed="false">
      <c r="A345" s="2" t="s">
        <v>200</v>
      </c>
      <c r="B345" s="2" t="s">
        <v>652</v>
      </c>
      <c r="C345" s="2" t="s">
        <v>635</v>
      </c>
      <c r="D345" s="2" t="s">
        <v>653</v>
      </c>
      <c r="E345" s="2" t="s">
        <v>169</v>
      </c>
    </row>
    <row r="346" customFormat="false" ht="15" hidden="false" customHeight="false" outlineLevel="0" collapsed="false">
      <c r="A346" s="2" t="s">
        <v>200</v>
      </c>
      <c r="B346" s="2" t="s">
        <v>654</v>
      </c>
      <c r="C346" s="2" t="s">
        <v>635</v>
      </c>
      <c r="D346" s="2" t="s">
        <v>655</v>
      </c>
      <c r="E346" s="2" t="s">
        <v>169</v>
      </c>
    </row>
    <row r="347" customFormat="false" ht="15" hidden="false" customHeight="false" outlineLevel="0" collapsed="false">
      <c r="A347" s="2" t="s">
        <v>200</v>
      </c>
      <c r="B347" s="2" t="s">
        <v>656</v>
      </c>
      <c r="C347" s="2" t="s">
        <v>642</v>
      </c>
      <c r="D347" s="2" t="s">
        <v>487</v>
      </c>
      <c r="E347" s="2" t="s">
        <v>166</v>
      </c>
    </row>
    <row r="348" customFormat="false" ht="15" hidden="false" customHeight="false" outlineLevel="0" collapsed="false">
      <c r="A348" s="2" t="s">
        <v>200</v>
      </c>
      <c r="B348" s="2" t="s">
        <v>320</v>
      </c>
      <c r="C348" s="2" t="s">
        <v>642</v>
      </c>
      <c r="D348" s="2" t="s">
        <v>657</v>
      </c>
      <c r="E348" s="2" t="s">
        <v>169</v>
      </c>
    </row>
    <row r="349" customFormat="false" ht="15" hidden="false" customHeight="false" outlineLevel="0" collapsed="false">
      <c r="A349" s="2" t="s">
        <v>200</v>
      </c>
      <c r="B349" s="2" t="s">
        <v>658</v>
      </c>
      <c r="C349" s="2" t="s">
        <v>642</v>
      </c>
      <c r="D349" s="2" t="s">
        <v>487</v>
      </c>
      <c r="E349" s="2" t="s">
        <v>166</v>
      </c>
    </row>
    <row r="350" customFormat="false" ht="15" hidden="false" customHeight="false" outlineLevel="0" collapsed="false">
      <c r="A350" s="2" t="s">
        <v>200</v>
      </c>
      <c r="B350" s="2" t="s">
        <v>324</v>
      </c>
      <c r="C350" s="2" t="s">
        <v>642</v>
      </c>
      <c r="D350" s="2" t="s">
        <v>610</v>
      </c>
      <c r="E350" s="2" t="s">
        <v>166</v>
      </c>
    </row>
    <row r="351" customFormat="false" ht="15" hidden="false" customHeight="false" outlineLevel="0" collapsed="false">
      <c r="A351" s="2" t="s">
        <v>200</v>
      </c>
      <c r="B351" s="2" t="s">
        <v>704</v>
      </c>
      <c r="C351" s="2" t="s">
        <v>643</v>
      </c>
      <c r="D351" s="2" t="s">
        <v>494</v>
      </c>
      <c r="E351" s="2" t="s">
        <v>167</v>
      </c>
    </row>
    <row r="352" customFormat="false" ht="15" hidden="false" customHeight="false" outlineLevel="0" collapsed="false">
      <c r="A352" s="2" t="s">
        <v>200</v>
      </c>
      <c r="B352" s="2" t="s">
        <v>660</v>
      </c>
      <c r="C352" s="2" t="s">
        <v>640</v>
      </c>
      <c r="D352" s="2" t="s">
        <v>355</v>
      </c>
      <c r="E352" s="2" t="s">
        <v>166</v>
      </c>
    </row>
    <row r="353" customFormat="false" ht="15" hidden="false" customHeight="false" outlineLevel="0" collapsed="false">
      <c r="A353" s="2" t="s">
        <v>200</v>
      </c>
      <c r="B353" s="2" t="s">
        <v>661</v>
      </c>
      <c r="C353" s="2" t="s">
        <v>641</v>
      </c>
      <c r="D353" s="2" t="s">
        <v>355</v>
      </c>
      <c r="E353" s="2" t="s">
        <v>166</v>
      </c>
    </row>
    <row r="354" customFormat="false" ht="15" hidden="false" customHeight="false" outlineLevel="0" collapsed="false">
      <c r="A354" s="2" t="s">
        <v>200</v>
      </c>
      <c r="B354" s="2" t="s">
        <v>662</v>
      </c>
      <c r="C354" s="2" t="s">
        <v>630</v>
      </c>
      <c r="D354" s="2" t="s">
        <v>585</v>
      </c>
      <c r="E354" s="2" t="s">
        <v>167</v>
      </c>
    </row>
    <row r="355" customFormat="false" ht="15" hidden="false" customHeight="false" outlineLevel="0" collapsed="false">
      <c r="A355" s="2" t="s">
        <v>200</v>
      </c>
      <c r="B355" s="2" t="s">
        <v>667</v>
      </c>
      <c r="C355" s="2" t="s">
        <v>638</v>
      </c>
      <c r="D355" s="2" t="s">
        <v>668</v>
      </c>
      <c r="E355" s="2" t="s">
        <v>166</v>
      </c>
    </row>
    <row r="356" customFormat="false" ht="15" hidden="false" customHeight="false" outlineLevel="0" collapsed="false">
      <c r="A356" s="2" t="s">
        <v>200</v>
      </c>
      <c r="B356" s="2" t="s">
        <v>669</v>
      </c>
      <c r="C356" s="2" t="s">
        <v>636</v>
      </c>
      <c r="D356" s="2" t="s">
        <v>670</v>
      </c>
      <c r="E356" s="2" t="s">
        <v>166</v>
      </c>
    </row>
    <row r="357" customFormat="false" ht="15" hidden="false" customHeight="false" outlineLevel="0" collapsed="false">
      <c r="A357" s="2" t="s">
        <v>200</v>
      </c>
      <c r="B357" s="2" t="s">
        <v>671</v>
      </c>
      <c r="C357" s="2" t="s">
        <v>632</v>
      </c>
      <c r="D357" s="2" t="s">
        <v>672</v>
      </c>
      <c r="E357" s="2" t="s">
        <v>166</v>
      </c>
    </row>
    <row r="358" customFormat="false" ht="15" hidden="false" customHeight="false" outlineLevel="0" collapsed="false">
      <c r="A358" s="2" t="s">
        <v>200</v>
      </c>
      <c r="B358" s="2" t="s">
        <v>673</v>
      </c>
      <c r="C358" s="2" t="s">
        <v>632</v>
      </c>
      <c r="D358" s="2" t="s">
        <v>523</v>
      </c>
      <c r="E358" s="2" t="s">
        <v>168</v>
      </c>
    </row>
    <row r="359" customFormat="false" ht="15" hidden="false" customHeight="false" outlineLevel="0" collapsed="false">
      <c r="A359" s="2" t="s">
        <v>200</v>
      </c>
      <c r="B359" s="2" t="s">
        <v>674</v>
      </c>
      <c r="C359" s="2" t="s">
        <v>632</v>
      </c>
      <c r="D359" s="2" t="s">
        <v>523</v>
      </c>
      <c r="E359" s="2" t="s">
        <v>168</v>
      </c>
    </row>
    <row r="360" customFormat="false" ht="15" hidden="false" customHeight="false" outlineLevel="0" collapsed="false">
      <c r="A360" s="2" t="s">
        <v>200</v>
      </c>
      <c r="B360" s="2" t="s">
        <v>692</v>
      </c>
      <c r="C360" s="2" t="s">
        <v>632</v>
      </c>
      <c r="D360" s="2" t="s">
        <v>523</v>
      </c>
      <c r="E360" s="2" t="s">
        <v>168</v>
      </c>
    </row>
    <row r="361" customFormat="false" ht="15" hidden="false" customHeight="false" outlineLevel="0" collapsed="false">
      <c r="A361" s="2" t="s">
        <v>200</v>
      </c>
      <c r="B361" s="2" t="s">
        <v>675</v>
      </c>
      <c r="C361" s="2" t="s">
        <v>632</v>
      </c>
      <c r="D361" s="2" t="s">
        <v>523</v>
      </c>
      <c r="E361" s="2" t="s">
        <v>168</v>
      </c>
    </row>
    <row r="362" customFormat="false" ht="15" hidden="false" customHeight="false" outlineLevel="0" collapsed="false">
      <c r="A362" s="2" t="s">
        <v>200</v>
      </c>
      <c r="B362" s="2" t="s">
        <v>412</v>
      </c>
      <c r="C362" s="2" t="s">
        <v>632</v>
      </c>
      <c r="D362" s="2" t="s">
        <v>523</v>
      </c>
      <c r="E362" s="2" t="s">
        <v>168</v>
      </c>
    </row>
    <row r="363" customFormat="false" ht="15" hidden="false" customHeight="false" outlineLevel="0" collapsed="false">
      <c r="A363" s="2" t="s">
        <v>200</v>
      </c>
      <c r="B363" s="2" t="s">
        <v>694</v>
      </c>
      <c r="C363" s="2" t="s">
        <v>633</v>
      </c>
      <c r="D363" s="2" t="s">
        <v>677</v>
      </c>
      <c r="E363" s="2" t="s">
        <v>166</v>
      </c>
    </row>
    <row r="364" customFormat="false" ht="15" hidden="false" customHeight="false" outlineLevel="0" collapsed="false">
      <c r="A364" s="2" t="s">
        <v>200</v>
      </c>
      <c r="B364" s="2" t="s">
        <v>678</v>
      </c>
      <c r="C364" s="2" t="s">
        <v>634</v>
      </c>
      <c r="D364" s="2" t="s">
        <v>679</v>
      </c>
      <c r="E364" s="2" t="s">
        <v>166</v>
      </c>
    </row>
    <row r="365" customFormat="false" ht="15" hidden="false" customHeight="false" outlineLevel="0" collapsed="false">
      <c r="A365" s="2" t="s">
        <v>200</v>
      </c>
      <c r="B365" s="2" t="s">
        <v>680</v>
      </c>
      <c r="C365" s="2" t="s">
        <v>629</v>
      </c>
      <c r="D365" s="2" t="s">
        <v>681</v>
      </c>
      <c r="E365" s="2" t="s">
        <v>169</v>
      </c>
    </row>
    <row r="366" customFormat="false" ht="15" hidden="false" customHeight="false" outlineLevel="0" collapsed="false">
      <c r="A366" s="2" t="s">
        <v>200</v>
      </c>
      <c r="B366" s="2" t="s">
        <v>370</v>
      </c>
      <c r="C366" s="2" t="s">
        <v>627</v>
      </c>
      <c r="D366" s="2" t="s">
        <v>682</v>
      </c>
      <c r="E366" s="2" t="s">
        <v>166</v>
      </c>
    </row>
    <row r="367" customFormat="false" ht="15" hidden="false" customHeight="false" outlineLevel="0" collapsed="false">
      <c r="A367" s="2" t="s">
        <v>200</v>
      </c>
      <c r="B367" s="2" t="s">
        <v>696</v>
      </c>
      <c r="C367" s="2" t="s">
        <v>627</v>
      </c>
      <c r="D367" s="2" t="s">
        <v>402</v>
      </c>
      <c r="E367" s="2" t="s">
        <v>168</v>
      </c>
    </row>
    <row r="368" customFormat="false" ht="15" hidden="false" customHeight="false" outlineLevel="0" collapsed="false">
      <c r="A368" s="2" t="s">
        <v>200</v>
      </c>
      <c r="B368" s="2" t="s">
        <v>697</v>
      </c>
      <c r="C368" s="2" t="s">
        <v>627</v>
      </c>
      <c r="D368" s="2" t="s">
        <v>402</v>
      </c>
      <c r="E368" s="2" t="s">
        <v>168</v>
      </c>
    </row>
    <row r="369" customFormat="false" ht="15" hidden="false" customHeight="false" outlineLevel="0" collapsed="false">
      <c r="A369" s="2" t="s">
        <v>200</v>
      </c>
      <c r="B369" s="2" t="s">
        <v>683</v>
      </c>
      <c r="C369" s="2" t="s">
        <v>627</v>
      </c>
      <c r="D369" s="2" t="s">
        <v>402</v>
      </c>
      <c r="E369" s="2" t="s">
        <v>168</v>
      </c>
    </row>
    <row r="370" customFormat="false" ht="15" hidden="false" customHeight="false" outlineLevel="0" collapsed="false">
      <c r="A370" s="2" t="s">
        <v>200</v>
      </c>
      <c r="B370" s="2" t="s">
        <v>684</v>
      </c>
      <c r="C370" s="2" t="s">
        <v>627</v>
      </c>
      <c r="D370" s="2" t="s">
        <v>402</v>
      </c>
      <c r="E370" s="2" t="s">
        <v>168</v>
      </c>
    </row>
    <row r="371" customFormat="false" ht="15" hidden="false" customHeight="false" outlineLevel="0" collapsed="false">
      <c r="A371" s="2" t="s">
        <v>200</v>
      </c>
      <c r="B371" s="2" t="s">
        <v>410</v>
      </c>
      <c r="C371" s="2" t="s">
        <v>627</v>
      </c>
      <c r="D371" s="2" t="s">
        <v>402</v>
      </c>
      <c r="E371" s="2" t="s">
        <v>168</v>
      </c>
    </row>
    <row r="372" customFormat="false" ht="15" hidden="false" customHeight="false" outlineLevel="0" collapsed="false">
      <c r="A372" s="2" t="s">
        <v>200</v>
      </c>
      <c r="B372" s="2" t="s">
        <v>686</v>
      </c>
      <c r="C372" s="2" t="s">
        <v>628</v>
      </c>
      <c r="D372" s="2" t="s">
        <v>687</v>
      </c>
      <c r="E372" s="2" t="s">
        <v>166</v>
      </c>
    </row>
    <row r="373" customFormat="false" ht="15" hidden="false" customHeight="false" outlineLevel="0" collapsed="false">
      <c r="A373" s="2" t="s">
        <v>200</v>
      </c>
      <c r="B373" s="2" t="s">
        <v>688</v>
      </c>
      <c r="C373" s="2" t="s">
        <v>645</v>
      </c>
      <c r="D373" s="2" t="s">
        <v>373</v>
      </c>
      <c r="E373" s="2" t="s">
        <v>170</v>
      </c>
    </row>
    <row r="374" customFormat="false" ht="15" hidden="false" customHeight="false" outlineLevel="0" collapsed="false">
      <c r="A374" s="2" t="s">
        <v>203</v>
      </c>
      <c r="B374" s="2" t="s">
        <v>649</v>
      </c>
      <c r="C374" s="2" t="s">
        <v>635</v>
      </c>
      <c r="D374" s="2" t="s">
        <v>487</v>
      </c>
      <c r="E374" s="2" t="s">
        <v>166</v>
      </c>
    </row>
    <row r="375" customFormat="false" ht="15" hidden="false" customHeight="false" outlineLevel="0" collapsed="false">
      <c r="A375" s="2" t="s">
        <v>203</v>
      </c>
      <c r="B375" s="2" t="s">
        <v>650</v>
      </c>
      <c r="C375" s="2" t="s">
        <v>635</v>
      </c>
      <c r="D375" s="2" t="s">
        <v>651</v>
      </c>
      <c r="E375" s="2" t="s">
        <v>169</v>
      </c>
    </row>
    <row r="376" customFormat="false" ht="15" hidden="false" customHeight="false" outlineLevel="0" collapsed="false">
      <c r="A376" s="2" t="s">
        <v>203</v>
      </c>
      <c r="B376" s="2" t="s">
        <v>652</v>
      </c>
      <c r="C376" s="2" t="s">
        <v>635</v>
      </c>
      <c r="D376" s="2" t="s">
        <v>653</v>
      </c>
      <c r="E376" s="2" t="s">
        <v>169</v>
      </c>
    </row>
    <row r="377" customFormat="false" ht="15" hidden="false" customHeight="false" outlineLevel="0" collapsed="false">
      <c r="A377" s="2" t="s">
        <v>203</v>
      </c>
      <c r="B377" s="2" t="s">
        <v>654</v>
      </c>
      <c r="C377" s="2" t="s">
        <v>635</v>
      </c>
      <c r="D377" s="2" t="s">
        <v>655</v>
      </c>
      <c r="E377" s="2" t="s">
        <v>169</v>
      </c>
    </row>
    <row r="378" customFormat="false" ht="15" hidden="false" customHeight="false" outlineLevel="0" collapsed="false">
      <c r="A378" s="2" t="s">
        <v>203</v>
      </c>
      <c r="B378" s="2" t="s">
        <v>656</v>
      </c>
      <c r="C378" s="2" t="s">
        <v>642</v>
      </c>
      <c r="D378" s="2" t="s">
        <v>487</v>
      </c>
      <c r="E378" s="2" t="s">
        <v>166</v>
      </c>
    </row>
    <row r="379" customFormat="false" ht="15" hidden="false" customHeight="false" outlineLevel="0" collapsed="false">
      <c r="A379" s="2" t="s">
        <v>203</v>
      </c>
      <c r="B379" s="2" t="s">
        <v>320</v>
      </c>
      <c r="C379" s="2" t="s">
        <v>642</v>
      </c>
      <c r="D379" s="2" t="s">
        <v>657</v>
      </c>
      <c r="E379" s="2" t="s">
        <v>169</v>
      </c>
    </row>
    <row r="380" customFormat="false" ht="15" hidden="false" customHeight="false" outlineLevel="0" collapsed="false">
      <c r="A380" s="2" t="s">
        <v>203</v>
      </c>
      <c r="B380" s="2" t="s">
        <v>658</v>
      </c>
      <c r="C380" s="2" t="s">
        <v>642</v>
      </c>
      <c r="D380" s="2" t="s">
        <v>487</v>
      </c>
      <c r="E380" s="2" t="s">
        <v>166</v>
      </c>
    </row>
    <row r="381" customFormat="false" ht="15" hidden="false" customHeight="false" outlineLevel="0" collapsed="false">
      <c r="A381" s="2" t="s">
        <v>203</v>
      </c>
      <c r="B381" s="2" t="s">
        <v>324</v>
      </c>
      <c r="C381" s="2" t="s">
        <v>642</v>
      </c>
      <c r="D381" s="2" t="s">
        <v>610</v>
      </c>
      <c r="E381" s="2" t="s">
        <v>166</v>
      </c>
    </row>
    <row r="382" customFormat="false" ht="15" hidden="false" customHeight="false" outlineLevel="0" collapsed="false">
      <c r="A382" s="2" t="s">
        <v>203</v>
      </c>
      <c r="B382" s="2" t="s">
        <v>660</v>
      </c>
      <c r="C382" s="2" t="s">
        <v>640</v>
      </c>
      <c r="D382" s="2" t="s">
        <v>355</v>
      </c>
      <c r="E382" s="2" t="s">
        <v>166</v>
      </c>
    </row>
    <row r="383" customFormat="false" ht="15" hidden="false" customHeight="false" outlineLevel="0" collapsed="false">
      <c r="A383" s="2" t="s">
        <v>203</v>
      </c>
      <c r="B383" s="2" t="s">
        <v>661</v>
      </c>
      <c r="C383" s="2" t="s">
        <v>641</v>
      </c>
      <c r="D383" s="2" t="s">
        <v>355</v>
      </c>
      <c r="E383" s="2" t="s">
        <v>166</v>
      </c>
    </row>
    <row r="384" customFormat="false" ht="15" hidden="false" customHeight="false" outlineLevel="0" collapsed="false">
      <c r="A384" s="2" t="s">
        <v>203</v>
      </c>
      <c r="B384" s="2" t="s">
        <v>662</v>
      </c>
      <c r="C384" s="2" t="s">
        <v>630</v>
      </c>
      <c r="D384" s="2" t="s">
        <v>585</v>
      </c>
      <c r="E384" s="2" t="s">
        <v>167</v>
      </c>
    </row>
    <row r="385" customFormat="false" ht="15" hidden="false" customHeight="false" outlineLevel="0" collapsed="false">
      <c r="A385" s="2" t="s">
        <v>203</v>
      </c>
      <c r="B385" s="2" t="s">
        <v>667</v>
      </c>
      <c r="C385" s="2" t="s">
        <v>638</v>
      </c>
      <c r="D385" s="2" t="s">
        <v>668</v>
      </c>
      <c r="E385" s="2" t="s">
        <v>166</v>
      </c>
    </row>
    <row r="386" customFormat="false" ht="15" hidden="false" customHeight="false" outlineLevel="0" collapsed="false">
      <c r="A386" s="2" t="s">
        <v>203</v>
      </c>
      <c r="B386" s="2" t="s">
        <v>669</v>
      </c>
      <c r="C386" s="2" t="s">
        <v>636</v>
      </c>
      <c r="D386" s="2" t="s">
        <v>670</v>
      </c>
      <c r="E386" s="2" t="s">
        <v>166</v>
      </c>
    </row>
    <row r="387" customFormat="false" ht="15" hidden="false" customHeight="false" outlineLevel="0" collapsed="false">
      <c r="A387" s="2" t="s">
        <v>203</v>
      </c>
      <c r="B387" s="2" t="s">
        <v>671</v>
      </c>
      <c r="C387" s="2" t="s">
        <v>632</v>
      </c>
      <c r="D387" s="2" t="s">
        <v>672</v>
      </c>
      <c r="E387" s="2" t="s">
        <v>166</v>
      </c>
    </row>
    <row r="388" customFormat="false" ht="15" hidden="false" customHeight="false" outlineLevel="0" collapsed="false">
      <c r="A388" s="2" t="s">
        <v>203</v>
      </c>
      <c r="B388" s="2" t="s">
        <v>675</v>
      </c>
      <c r="C388" s="2" t="s">
        <v>632</v>
      </c>
      <c r="D388" s="2" t="s">
        <v>523</v>
      </c>
      <c r="E388" s="2" t="s">
        <v>168</v>
      </c>
    </row>
    <row r="389" customFormat="false" ht="15" hidden="false" customHeight="false" outlineLevel="0" collapsed="false">
      <c r="A389" s="2" t="s">
        <v>203</v>
      </c>
      <c r="B389" s="2" t="s">
        <v>412</v>
      </c>
      <c r="C389" s="2" t="s">
        <v>632</v>
      </c>
      <c r="D389" s="2" t="s">
        <v>523</v>
      </c>
      <c r="E389" s="2" t="s">
        <v>168</v>
      </c>
    </row>
    <row r="390" customFormat="false" ht="15" hidden="false" customHeight="false" outlineLevel="0" collapsed="false">
      <c r="A390" s="2" t="s">
        <v>203</v>
      </c>
      <c r="B390" s="2" t="s">
        <v>693</v>
      </c>
      <c r="C390" s="2" t="s">
        <v>632</v>
      </c>
      <c r="D390" s="2" t="s">
        <v>523</v>
      </c>
      <c r="E390" s="2" t="s">
        <v>170</v>
      </c>
    </row>
    <row r="391" customFormat="false" ht="15" hidden="false" customHeight="false" outlineLevel="0" collapsed="false">
      <c r="A391" s="2" t="s">
        <v>203</v>
      </c>
      <c r="B391" s="2" t="s">
        <v>676</v>
      </c>
      <c r="C391" s="2" t="s">
        <v>633</v>
      </c>
      <c r="D391" s="2" t="s">
        <v>677</v>
      </c>
      <c r="E391" s="2" t="s">
        <v>166</v>
      </c>
    </row>
    <row r="392" customFormat="false" ht="15" hidden="false" customHeight="false" outlineLevel="0" collapsed="false">
      <c r="A392" s="2" t="s">
        <v>203</v>
      </c>
      <c r="B392" s="2" t="s">
        <v>678</v>
      </c>
      <c r="C392" s="2" t="s">
        <v>634</v>
      </c>
      <c r="D392" s="2" t="s">
        <v>695</v>
      </c>
      <c r="E392" s="2" t="s">
        <v>169</v>
      </c>
    </row>
    <row r="393" customFormat="false" ht="15" hidden="false" customHeight="false" outlineLevel="0" collapsed="false">
      <c r="A393" s="2" t="s">
        <v>203</v>
      </c>
      <c r="B393" s="2" t="s">
        <v>680</v>
      </c>
      <c r="C393" s="2" t="s">
        <v>629</v>
      </c>
      <c r="D393" s="2" t="s">
        <v>681</v>
      </c>
      <c r="E393" s="2" t="s">
        <v>169</v>
      </c>
    </row>
    <row r="394" customFormat="false" ht="15" hidden="false" customHeight="false" outlineLevel="0" collapsed="false">
      <c r="A394" s="2" t="s">
        <v>203</v>
      </c>
      <c r="B394" s="2" t="s">
        <v>370</v>
      </c>
      <c r="C394" s="2" t="s">
        <v>627</v>
      </c>
      <c r="D394" s="2" t="s">
        <v>682</v>
      </c>
      <c r="E394" s="2" t="s">
        <v>166</v>
      </c>
    </row>
    <row r="395" customFormat="false" ht="15" hidden="false" customHeight="false" outlineLevel="0" collapsed="false">
      <c r="A395" s="2" t="s">
        <v>203</v>
      </c>
      <c r="B395" s="2" t="s">
        <v>684</v>
      </c>
      <c r="C395" s="2" t="s">
        <v>627</v>
      </c>
      <c r="D395" s="2" t="s">
        <v>402</v>
      </c>
      <c r="E395" s="2" t="s">
        <v>168</v>
      </c>
    </row>
    <row r="396" customFormat="false" ht="15" hidden="false" customHeight="false" outlineLevel="0" collapsed="false">
      <c r="A396" s="2" t="s">
        <v>203</v>
      </c>
      <c r="B396" s="2" t="s">
        <v>410</v>
      </c>
      <c r="C396" s="2" t="s">
        <v>627</v>
      </c>
      <c r="D396" s="2" t="s">
        <v>402</v>
      </c>
      <c r="E396" s="2" t="s">
        <v>168</v>
      </c>
    </row>
    <row r="397" customFormat="false" ht="15" hidden="false" customHeight="false" outlineLevel="0" collapsed="false">
      <c r="A397" s="2" t="s">
        <v>203</v>
      </c>
      <c r="B397" s="2" t="s">
        <v>685</v>
      </c>
      <c r="C397" s="2" t="s">
        <v>627</v>
      </c>
      <c r="D397" s="2" t="s">
        <v>402</v>
      </c>
      <c r="E397" s="2" t="s">
        <v>170</v>
      </c>
    </row>
    <row r="398" customFormat="false" ht="15" hidden="false" customHeight="false" outlineLevel="0" collapsed="false">
      <c r="A398" s="2" t="s">
        <v>203</v>
      </c>
      <c r="B398" s="2" t="s">
        <v>708</v>
      </c>
      <c r="C398" s="2" t="s">
        <v>628</v>
      </c>
      <c r="D398" s="2" t="s">
        <v>687</v>
      </c>
      <c r="E398" s="2" t="s">
        <v>166</v>
      </c>
    </row>
    <row r="399" customFormat="false" ht="15" hidden="false" customHeight="false" outlineLevel="0" collapsed="false">
      <c r="A399" s="2" t="s">
        <v>203</v>
      </c>
      <c r="B399" s="2" t="s">
        <v>711</v>
      </c>
      <c r="C399" s="2" t="s">
        <v>644</v>
      </c>
      <c r="D399" s="2" t="s">
        <v>604</v>
      </c>
      <c r="E399" s="2" t="s">
        <v>170</v>
      </c>
    </row>
    <row r="400" customFormat="false" ht="15" hidden="false" customHeight="false" outlineLevel="0" collapsed="false">
      <c r="A400" s="2" t="s">
        <v>203</v>
      </c>
      <c r="B400" s="2" t="s">
        <v>688</v>
      </c>
      <c r="C400" s="2" t="s">
        <v>645</v>
      </c>
      <c r="D400" s="2" t="s">
        <v>373</v>
      </c>
      <c r="E400" s="2" t="s">
        <v>170</v>
      </c>
    </row>
    <row r="401" customFormat="false" ht="15" hidden="false" customHeight="false" outlineLevel="0" collapsed="false">
      <c r="A401" s="2" t="s">
        <v>203</v>
      </c>
      <c r="B401" s="2" t="s">
        <v>689</v>
      </c>
      <c r="C401" s="2" t="s">
        <v>645</v>
      </c>
      <c r="D401" s="2" t="s">
        <v>690</v>
      </c>
      <c r="E401" s="2" t="s">
        <v>167</v>
      </c>
    </row>
    <row r="402" customFormat="false" ht="15" hidden="false" customHeight="false" outlineLevel="0" collapsed="false">
      <c r="A402" s="2" t="s">
        <v>203</v>
      </c>
      <c r="B402" s="2" t="s">
        <v>691</v>
      </c>
      <c r="C402" s="2" t="s">
        <v>645</v>
      </c>
      <c r="D402" s="2" t="s">
        <v>690</v>
      </c>
      <c r="E402" s="2" t="s">
        <v>167</v>
      </c>
    </row>
    <row r="403" customFormat="false" ht="15" hidden="false" customHeight="false" outlineLevel="0" collapsed="false">
      <c r="A403" s="2" t="s">
        <v>205</v>
      </c>
      <c r="B403" s="2" t="s">
        <v>649</v>
      </c>
      <c r="C403" s="2" t="s">
        <v>635</v>
      </c>
      <c r="D403" s="2" t="s">
        <v>487</v>
      </c>
      <c r="E403" s="2" t="s">
        <v>166</v>
      </c>
    </row>
    <row r="404" customFormat="false" ht="15" hidden="false" customHeight="false" outlineLevel="0" collapsed="false">
      <c r="A404" s="2" t="s">
        <v>205</v>
      </c>
      <c r="B404" s="2" t="s">
        <v>650</v>
      </c>
      <c r="C404" s="2" t="s">
        <v>635</v>
      </c>
      <c r="D404" s="2" t="s">
        <v>651</v>
      </c>
      <c r="E404" s="2" t="s">
        <v>169</v>
      </c>
    </row>
    <row r="405" customFormat="false" ht="15" hidden="false" customHeight="false" outlineLevel="0" collapsed="false">
      <c r="A405" s="2" t="s">
        <v>205</v>
      </c>
      <c r="B405" s="2" t="s">
        <v>652</v>
      </c>
      <c r="C405" s="2" t="s">
        <v>635</v>
      </c>
      <c r="D405" s="2" t="s">
        <v>653</v>
      </c>
      <c r="E405" s="2" t="s">
        <v>169</v>
      </c>
    </row>
    <row r="406" customFormat="false" ht="15" hidden="false" customHeight="false" outlineLevel="0" collapsed="false">
      <c r="A406" s="2" t="s">
        <v>205</v>
      </c>
      <c r="B406" s="2" t="s">
        <v>654</v>
      </c>
      <c r="C406" s="2" t="s">
        <v>635</v>
      </c>
      <c r="D406" s="2" t="s">
        <v>655</v>
      </c>
      <c r="E406" s="2" t="s">
        <v>169</v>
      </c>
    </row>
    <row r="407" customFormat="false" ht="15" hidden="false" customHeight="false" outlineLevel="0" collapsed="false">
      <c r="A407" s="2" t="s">
        <v>205</v>
      </c>
      <c r="B407" s="2" t="s">
        <v>656</v>
      </c>
      <c r="C407" s="2" t="s">
        <v>642</v>
      </c>
      <c r="D407" s="2" t="s">
        <v>487</v>
      </c>
      <c r="E407" s="2" t="s">
        <v>166</v>
      </c>
    </row>
    <row r="408" customFormat="false" ht="15" hidden="false" customHeight="false" outlineLevel="0" collapsed="false">
      <c r="A408" s="2" t="s">
        <v>205</v>
      </c>
      <c r="B408" s="2" t="s">
        <v>320</v>
      </c>
      <c r="C408" s="2" t="s">
        <v>642</v>
      </c>
      <c r="D408" s="2" t="s">
        <v>657</v>
      </c>
      <c r="E408" s="2" t="s">
        <v>169</v>
      </c>
    </row>
    <row r="409" customFormat="false" ht="15" hidden="false" customHeight="false" outlineLevel="0" collapsed="false">
      <c r="A409" s="2" t="s">
        <v>205</v>
      </c>
      <c r="B409" s="2" t="s">
        <v>658</v>
      </c>
      <c r="C409" s="2" t="s">
        <v>642</v>
      </c>
      <c r="D409" s="2" t="s">
        <v>487</v>
      </c>
      <c r="E409" s="2" t="s">
        <v>166</v>
      </c>
    </row>
    <row r="410" customFormat="false" ht="15" hidden="false" customHeight="false" outlineLevel="0" collapsed="false">
      <c r="A410" s="2" t="s">
        <v>205</v>
      </c>
      <c r="B410" s="2" t="s">
        <v>324</v>
      </c>
      <c r="C410" s="2" t="s">
        <v>642</v>
      </c>
      <c r="D410" s="2" t="s">
        <v>659</v>
      </c>
      <c r="E410" s="2" t="s">
        <v>169</v>
      </c>
    </row>
    <row r="411" customFormat="false" ht="15" hidden="false" customHeight="false" outlineLevel="0" collapsed="false">
      <c r="A411" s="2" t="s">
        <v>205</v>
      </c>
      <c r="B411" s="2" t="s">
        <v>660</v>
      </c>
      <c r="C411" s="2" t="s">
        <v>640</v>
      </c>
      <c r="D411" s="2" t="s">
        <v>355</v>
      </c>
      <c r="E411" s="2" t="s">
        <v>166</v>
      </c>
    </row>
    <row r="412" customFormat="false" ht="15" hidden="false" customHeight="false" outlineLevel="0" collapsed="false">
      <c r="A412" s="2" t="s">
        <v>205</v>
      </c>
      <c r="B412" s="2" t="s">
        <v>661</v>
      </c>
      <c r="C412" s="2" t="s">
        <v>641</v>
      </c>
      <c r="D412" s="2" t="s">
        <v>355</v>
      </c>
      <c r="E412" s="2" t="s">
        <v>166</v>
      </c>
    </row>
    <row r="413" customFormat="false" ht="15" hidden="false" customHeight="false" outlineLevel="0" collapsed="false">
      <c r="A413" s="2" t="s">
        <v>205</v>
      </c>
      <c r="B413" s="2" t="s">
        <v>662</v>
      </c>
      <c r="C413" s="2" t="s">
        <v>630</v>
      </c>
      <c r="D413" s="2" t="s">
        <v>585</v>
      </c>
      <c r="E413" s="2" t="s">
        <v>167</v>
      </c>
    </row>
    <row r="414" customFormat="false" ht="15" hidden="false" customHeight="false" outlineLevel="0" collapsed="false">
      <c r="A414" s="2" t="s">
        <v>205</v>
      </c>
      <c r="B414" s="2" t="s">
        <v>667</v>
      </c>
      <c r="C414" s="2" t="s">
        <v>638</v>
      </c>
      <c r="D414" s="2" t="s">
        <v>668</v>
      </c>
      <c r="E414" s="2" t="s">
        <v>166</v>
      </c>
    </row>
    <row r="415" customFormat="false" ht="15" hidden="false" customHeight="false" outlineLevel="0" collapsed="false">
      <c r="A415" s="2" t="s">
        <v>205</v>
      </c>
      <c r="B415" s="2" t="s">
        <v>669</v>
      </c>
      <c r="C415" s="2" t="s">
        <v>636</v>
      </c>
      <c r="D415" s="2" t="s">
        <v>670</v>
      </c>
      <c r="E415" s="2" t="s">
        <v>166</v>
      </c>
    </row>
    <row r="416" customFormat="false" ht="15" hidden="false" customHeight="false" outlineLevel="0" collapsed="false">
      <c r="A416" s="2" t="s">
        <v>205</v>
      </c>
      <c r="B416" s="2" t="s">
        <v>671</v>
      </c>
      <c r="C416" s="2" t="s">
        <v>632</v>
      </c>
      <c r="D416" s="2" t="s">
        <v>712</v>
      </c>
      <c r="E416" s="2" t="s">
        <v>166</v>
      </c>
    </row>
    <row r="417" customFormat="false" ht="15" hidden="false" customHeight="false" outlineLevel="0" collapsed="false">
      <c r="A417" s="2" t="s">
        <v>205</v>
      </c>
      <c r="B417" s="2" t="s">
        <v>675</v>
      </c>
      <c r="C417" s="2" t="s">
        <v>632</v>
      </c>
      <c r="D417" s="2" t="s">
        <v>713</v>
      </c>
      <c r="E417" s="2" t="s">
        <v>166</v>
      </c>
    </row>
    <row r="418" customFormat="false" ht="15" hidden="false" customHeight="false" outlineLevel="0" collapsed="false">
      <c r="A418" s="2" t="s">
        <v>205</v>
      </c>
      <c r="B418" s="2" t="s">
        <v>412</v>
      </c>
      <c r="C418" s="2" t="s">
        <v>632</v>
      </c>
      <c r="D418" s="2" t="s">
        <v>713</v>
      </c>
      <c r="E418" s="2" t="s">
        <v>166</v>
      </c>
    </row>
    <row r="419" customFormat="false" ht="15" hidden="false" customHeight="false" outlineLevel="0" collapsed="false">
      <c r="A419" s="2" t="s">
        <v>205</v>
      </c>
      <c r="B419" s="2" t="s">
        <v>693</v>
      </c>
      <c r="C419" s="2" t="s">
        <v>632</v>
      </c>
      <c r="D419" s="2" t="s">
        <v>713</v>
      </c>
      <c r="E419" s="2" t="s">
        <v>170</v>
      </c>
    </row>
    <row r="420" customFormat="false" ht="15" hidden="false" customHeight="false" outlineLevel="0" collapsed="false">
      <c r="A420" s="2" t="s">
        <v>205</v>
      </c>
      <c r="B420" s="2" t="s">
        <v>694</v>
      </c>
      <c r="C420" s="2" t="s">
        <v>633</v>
      </c>
      <c r="D420" s="2" t="s">
        <v>714</v>
      </c>
      <c r="E420" s="2" t="s">
        <v>166</v>
      </c>
    </row>
    <row r="421" customFormat="false" ht="15" hidden="false" customHeight="false" outlineLevel="0" collapsed="false">
      <c r="A421" s="2" t="s">
        <v>205</v>
      </c>
      <c r="B421" s="2" t="s">
        <v>678</v>
      </c>
      <c r="C421" s="2" t="s">
        <v>634</v>
      </c>
      <c r="D421" s="2" t="s">
        <v>679</v>
      </c>
      <c r="E421" s="2" t="s">
        <v>166</v>
      </c>
    </row>
    <row r="422" customFormat="false" ht="15" hidden="false" customHeight="false" outlineLevel="0" collapsed="false">
      <c r="A422" s="2" t="s">
        <v>205</v>
      </c>
      <c r="B422" s="2" t="s">
        <v>680</v>
      </c>
      <c r="C422" s="2" t="s">
        <v>629</v>
      </c>
      <c r="D422" s="2" t="s">
        <v>703</v>
      </c>
      <c r="E422" s="2" t="s">
        <v>166</v>
      </c>
    </row>
    <row r="423" customFormat="false" ht="15" hidden="false" customHeight="false" outlineLevel="0" collapsed="false">
      <c r="A423" s="2" t="s">
        <v>205</v>
      </c>
      <c r="B423" s="2" t="s">
        <v>370</v>
      </c>
      <c r="C423" s="2" t="s">
        <v>627</v>
      </c>
      <c r="D423" s="2" t="s">
        <v>682</v>
      </c>
      <c r="E423" s="2" t="s">
        <v>166</v>
      </c>
    </row>
    <row r="424" customFormat="false" ht="15" hidden="false" customHeight="false" outlineLevel="0" collapsed="false">
      <c r="A424" s="2" t="s">
        <v>205</v>
      </c>
      <c r="B424" s="2" t="s">
        <v>696</v>
      </c>
      <c r="C424" s="2" t="s">
        <v>627</v>
      </c>
      <c r="D424" s="2" t="s">
        <v>402</v>
      </c>
      <c r="E424" s="2" t="s">
        <v>168</v>
      </c>
    </row>
    <row r="425" customFormat="false" ht="15" hidden="false" customHeight="false" outlineLevel="0" collapsed="false">
      <c r="A425" s="2" t="s">
        <v>205</v>
      </c>
      <c r="B425" s="2" t="s">
        <v>697</v>
      </c>
      <c r="C425" s="2" t="s">
        <v>627</v>
      </c>
      <c r="D425" s="2" t="s">
        <v>402</v>
      </c>
      <c r="E425" s="2" t="s">
        <v>168</v>
      </c>
    </row>
    <row r="426" customFormat="false" ht="15" hidden="false" customHeight="false" outlineLevel="0" collapsed="false">
      <c r="A426" s="2" t="s">
        <v>205</v>
      </c>
      <c r="B426" s="2" t="s">
        <v>684</v>
      </c>
      <c r="C426" s="2" t="s">
        <v>627</v>
      </c>
      <c r="D426" s="2" t="s">
        <v>402</v>
      </c>
      <c r="E426" s="2" t="s">
        <v>168</v>
      </c>
    </row>
    <row r="427" customFormat="false" ht="15" hidden="false" customHeight="false" outlineLevel="0" collapsed="false">
      <c r="A427" s="2" t="s">
        <v>205</v>
      </c>
      <c r="B427" s="2" t="s">
        <v>410</v>
      </c>
      <c r="C427" s="2" t="s">
        <v>627</v>
      </c>
      <c r="D427" s="2" t="s">
        <v>402</v>
      </c>
      <c r="E427" s="2" t="s">
        <v>168</v>
      </c>
    </row>
    <row r="428" customFormat="false" ht="15" hidden="false" customHeight="false" outlineLevel="0" collapsed="false">
      <c r="A428" s="2" t="s">
        <v>205</v>
      </c>
      <c r="B428" s="2" t="s">
        <v>686</v>
      </c>
      <c r="C428" s="2" t="s">
        <v>628</v>
      </c>
      <c r="D428" s="2" t="s">
        <v>687</v>
      </c>
      <c r="E428" s="2" t="s">
        <v>166</v>
      </c>
    </row>
    <row r="429" customFormat="false" ht="15" hidden="false" customHeight="false" outlineLevel="0" collapsed="false">
      <c r="A429" s="2" t="s">
        <v>205</v>
      </c>
      <c r="B429" s="2" t="s">
        <v>688</v>
      </c>
      <c r="C429" s="2" t="s">
        <v>645</v>
      </c>
      <c r="D429" s="2" t="s">
        <v>373</v>
      </c>
      <c r="E429" s="2" t="s">
        <v>170</v>
      </c>
    </row>
    <row r="430" customFormat="false" ht="15" hidden="false" customHeight="false" outlineLevel="0" collapsed="false">
      <c r="A430" s="2" t="s">
        <v>208</v>
      </c>
      <c r="B430" s="2" t="s">
        <v>649</v>
      </c>
      <c r="C430" s="2" t="s">
        <v>635</v>
      </c>
      <c r="D430" s="2" t="s">
        <v>487</v>
      </c>
      <c r="E430" s="2" t="s">
        <v>166</v>
      </c>
    </row>
    <row r="431" customFormat="false" ht="15" hidden="false" customHeight="false" outlineLevel="0" collapsed="false">
      <c r="A431" s="2" t="s">
        <v>208</v>
      </c>
      <c r="B431" s="2" t="s">
        <v>650</v>
      </c>
      <c r="C431" s="2" t="s">
        <v>635</v>
      </c>
      <c r="D431" s="2" t="s">
        <v>651</v>
      </c>
      <c r="E431" s="2" t="s">
        <v>169</v>
      </c>
    </row>
    <row r="432" customFormat="false" ht="15" hidden="false" customHeight="false" outlineLevel="0" collapsed="false">
      <c r="A432" s="2" t="s">
        <v>208</v>
      </c>
      <c r="B432" s="2" t="s">
        <v>652</v>
      </c>
      <c r="C432" s="2" t="s">
        <v>635</v>
      </c>
      <c r="D432" s="2" t="s">
        <v>653</v>
      </c>
      <c r="E432" s="2" t="s">
        <v>169</v>
      </c>
    </row>
    <row r="433" customFormat="false" ht="15" hidden="false" customHeight="false" outlineLevel="0" collapsed="false">
      <c r="A433" s="2" t="s">
        <v>208</v>
      </c>
      <c r="B433" s="2" t="s">
        <v>654</v>
      </c>
      <c r="C433" s="2" t="s">
        <v>635</v>
      </c>
      <c r="D433" s="2" t="s">
        <v>655</v>
      </c>
      <c r="E433" s="2" t="s">
        <v>169</v>
      </c>
    </row>
    <row r="434" customFormat="false" ht="15" hidden="false" customHeight="false" outlineLevel="0" collapsed="false">
      <c r="A434" s="2" t="s">
        <v>208</v>
      </c>
      <c r="B434" s="2" t="s">
        <v>656</v>
      </c>
      <c r="C434" s="2" t="s">
        <v>642</v>
      </c>
      <c r="D434" s="2" t="s">
        <v>487</v>
      </c>
      <c r="E434" s="2" t="s">
        <v>166</v>
      </c>
    </row>
    <row r="435" customFormat="false" ht="15" hidden="false" customHeight="false" outlineLevel="0" collapsed="false">
      <c r="A435" s="2" t="s">
        <v>208</v>
      </c>
      <c r="B435" s="2" t="s">
        <v>320</v>
      </c>
      <c r="C435" s="2" t="s">
        <v>642</v>
      </c>
      <c r="D435" s="2" t="s">
        <v>657</v>
      </c>
      <c r="E435" s="2" t="s">
        <v>169</v>
      </c>
    </row>
    <row r="436" customFormat="false" ht="15" hidden="false" customHeight="false" outlineLevel="0" collapsed="false">
      <c r="A436" s="2" t="s">
        <v>208</v>
      </c>
      <c r="B436" s="2" t="s">
        <v>658</v>
      </c>
      <c r="C436" s="2" t="s">
        <v>642</v>
      </c>
      <c r="D436" s="2" t="s">
        <v>487</v>
      </c>
      <c r="E436" s="2" t="s">
        <v>166</v>
      </c>
    </row>
    <row r="437" customFormat="false" ht="15" hidden="false" customHeight="false" outlineLevel="0" collapsed="false">
      <c r="A437" s="2" t="s">
        <v>208</v>
      </c>
      <c r="B437" s="2" t="s">
        <v>324</v>
      </c>
      <c r="C437" s="2" t="s">
        <v>642</v>
      </c>
      <c r="D437" s="2" t="s">
        <v>610</v>
      </c>
      <c r="E437" s="2" t="s">
        <v>166</v>
      </c>
    </row>
    <row r="438" customFormat="false" ht="15" hidden="false" customHeight="false" outlineLevel="0" collapsed="false">
      <c r="A438" s="2" t="s">
        <v>208</v>
      </c>
      <c r="B438" s="2" t="s">
        <v>660</v>
      </c>
      <c r="C438" s="2" t="s">
        <v>640</v>
      </c>
      <c r="D438" s="2" t="s">
        <v>355</v>
      </c>
      <c r="E438" s="2" t="s">
        <v>166</v>
      </c>
    </row>
    <row r="439" customFormat="false" ht="15" hidden="false" customHeight="false" outlineLevel="0" collapsed="false">
      <c r="A439" s="2" t="s">
        <v>208</v>
      </c>
      <c r="B439" s="2" t="s">
        <v>661</v>
      </c>
      <c r="C439" s="2" t="s">
        <v>641</v>
      </c>
      <c r="D439" s="2" t="s">
        <v>355</v>
      </c>
      <c r="E439" s="2" t="s">
        <v>166</v>
      </c>
    </row>
    <row r="440" customFormat="false" ht="15" hidden="false" customHeight="false" outlineLevel="0" collapsed="false">
      <c r="A440" s="2" t="s">
        <v>208</v>
      </c>
      <c r="B440" s="2" t="s">
        <v>662</v>
      </c>
      <c r="C440" s="2" t="s">
        <v>630</v>
      </c>
      <c r="D440" s="2" t="s">
        <v>585</v>
      </c>
      <c r="E440" s="2" t="s">
        <v>167</v>
      </c>
    </row>
    <row r="441" customFormat="false" ht="15" hidden="false" customHeight="false" outlineLevel="0" collapsed="false">
      <c r="A441" s="2" t="s">
        <v>208</v>
      </c>
      <c r="B441" s="2" t="s">
        <v>663</v>
      </c>
      <c r="C441" s="2" t="s">
        <v>631</v>
      </c>
      <c r="D441" s="2" t="s">
        <v>664</v>
      </c>
      <c r="E441" s="2" t="s">
        <v>166</v>
      </c>
    </row>
    <row r="442" customFormat="false" ht="15" hidden="false" customHeight="false" outlineLevel="0" collapsed="false">
      <c r="A442" s="2" t="s">
        <v>208</v>
      </c>
      <c r="B442" s="2" t="s">
        <v>665</v>
      </c>
      <c r="C442" s="2" t="s">
        <v>631</v>
      </c>
      <c r="D442" s="2" t="s">
        <v>666</v>
      </c>
      <c r="E442" s="2" t="s">
        <v>169</v>
      </c>
    </row>
    <row r="443" customFormat="false" ht="15" hidden="false" customHeight="false" outlineLevel="0" collapsed="false">
      <c r="A443" s="2" t="s">
        <v>208</v>
      </c>
      <c r="B443" s="2" t="s">
        <v>667</v>
      </c>
      <c r="C443" s="2" t="s">
        <v>638</v>
      </c>
      <c r="D443" s="2" t="s">
        <v>668</v>
      </c>
      <c r="E443" s="2" t="s">
        <v>166</v>
      </c>
    </row>
    <row r="444" customFormat="false" ht="15" hidden="false" customHeight="false" outlineLevel="0" collapsed="false">
      <c r="A444" s="2" t="s">
        <v>208</v>
      </c>
      <c r="B444" s="2" t="s">
        <v>669</v>
      </c>
      <c r="C444" s="2" t="s">
        <v>636</v>
      </c>
      <c r="D444" s="2" t="s">
        <v>670</v>
      </c>
      <c r="E444" s="2" t="s">
        <v>166</v>
      </c>
    </row>
    <row r="445" customFormat="false" ht="15" hidden="false" customHeight="false" outlineLevel="0" collapsed="false">
      <c r="A445" s="2" t="s">
        <v>208</v>
      </c>
      <c r="B445" s="2" t="s">
        <v>671</v>
      </c>
      <c r="C445" s="2" t="s">
        <v>632</v>
      </c>
      <c r="D445" s="2" t="s">
        <v>672</v>
      </c>
      <c r="E445" s="2" t="s">
        <v>166</v>
      </c>
    </row>
    <row r="446" customFormat="false" ht="15" hidden="false" customHeight="false" outlineLevel="0" collapsed="false">
      <c r="A446" s="2" t="s">
        <v>208</v>
      </c>
      <c r="B446" s="2" t="s">
        <v>673</v>
      </c>
      <c r="C446" s="2" t="s">
        <v>632</v>
      </c>
      <c r="D446" s="2" t="s">
        <v>523</v>
      </c>
      <c r="E446" s="2" t="s">
        <v>168</v>
      </c>
    </row>
    <row r="447" customFormat="false" ht="15" hidden="false" customHeight="false" outlineLevel="0" collapsed="false">
      <c r="A447" s="2" t="s">
        <v>208</v>
      </c>
      <c r="B447" s="2" t="s">
        <v>674</v>
      </c>
      <c r="C447" s="2" t="s">
        <v>632</v>
      </c>
      <c r="D447" s="2" t="s">
        <v>523</v>
      </c>
      <c r="E447" s="2" t="s">
        <v>168</v>
      </c>
    </row>
    <row r="448" customFormat="false" ht="15" hidden="false" customHeight="false" outlineLevel="0" collapsed="false">
      <c r="A448" s="2" t="s">
        <v>208</v>
      </c>
      <c r="B448" s="2" t="s">
        <v>692</v>
      </c>
      <c r="C448" s="2" t="s">
        <v>632</v>
      </c>
      <c r="D448" s="2" t="s">
        <v>523</v>
      </c>
      <c r="E448" s="2" t="s">
        <v>168</v>
      </c>
    </row>
    <row r="449" customFormat="false" ht="15" hidden="false" customHeight="false" outlineLevel="0" collapsed="false">
      <c r="A449" s="2" t="s">
        <v>208</v>
      </c>
      <c r="B449" s="2" t="s">
        <v>675</v>
      </c>
      <c r="C449" s="2" t="s">
        <v>632</v>
      </c>
      <c r="D449" s="2" t="s">
        <v>523</v>
      </c>
      <c r="E449" s="2" t="s">
        <v>168</v>
      </c>
    </row>
    <row r="450" customFormat="false" ht="15" hidden="false" customHeight="false" outlineLevel="0" collapsed="false">
      <c r="A450" s="2" t="s">
        <v>208</v>
      </c>
      <c r="B450" s="2" t="s">
        <v>702</v>
      </c>
      <c r="C450" s="2" t="s">
        <v>632</v>
      </c>
      <c r="D450" s="2" t="s">
        <v>523</v>
      </c>
      <c r="E450" s="2" t="s">
        <v>168</v>
      </c>
    </row>
    <row r="451" customFormat="false" ht="15" hidden="false" customHeight="false" outlineLevel="0" collapsed="false">
      <c r="A451" s="2" t="s">
        <v>208</v>
      </c>
      <c r="B451" s="2" t="s">
        <v>412</v>
      </c>
      <c r="C451" s="2" t="s">
        <v>632</v>
      </c>
      <c r="D451" s="2" t="s">
        <v>523</v>
      </c>
      <c r="E451" s="2" t="s">
        <v>168</v>
      </c>
    </row>
    <row r="452" customFormat="false" ht="15" hidden="false" customHeight="false" outlineLevel="0" collapsed="false">
      <c r="A452" s="2" t="s">
        <v>208</v>
      </c>
      <c r="B452" s="2" t="s">
        <v>676</v>
      </c>
      <c r="C452" s="2" t="s">
        <v>633</v>
      </c>
      <c r="D452" s="2" t="s">
        <v>677</v>
      </c>
      <c r="E452" s="2" t="s">
        <v>166</v>
      </c>
    </row>
    <row r="453" customFormat="false" ht="15" hidden="false" customHeight="false" outlineLevel="0" collapsed="false">
      <c r="A453" s="2" t="s">
        <v>208</v>
      </c>
      <c r="B453" s="2" t="s">
        <v>678</v>
      </c>
      <c r="C453" s="2" t="s">
        <v>634</v>
      </c>
      <c r="D453" s="2" t="s">
        <v>695</v>
      </c>
      <c r="E453" s="2" t="s">
        <v>169</v>
      </c>
    </row>
    <row r="454" customFormat="false" ht="15" hidden="false" customHeight="false" outlineLevel="0" collapsed="false">
      <c r="A454" s="2" t="s">
        <v>208</v>
      </c>
      <c r="B454" s="2" t="s">
        <v>680</v>
      </c>
      <c r="C454" s="2" t="s">
        <v>629</v>
      </c>
      <c r="D454" s="2" t="s">
        <v>703</v>
      </c>
      <c r="E454" s="2" t="s">
        <v>166</v>
      </c>
    </row>
    <row r="455" customFormat="false" ht="15" hidden="false" customHeight="false" outlineLevel="0" collapsed="false">
      <c r="A455" s="2" t="s">
        <v>208</v>
      </c>
      <c r="B455" s="2" t="s">
        <v>370</v>
      </c>
      <c r="C455" s="2" t="s">
        <v>627</v>
      </c>
      <c r="D455" s="2" t="s">
        <v>682</v>
      </c>
      <c r="E455" s="2" t="s">
        <v>166</v>
      </c>
    </row>
    <row r="456" customFormat="false" ht="15" hidden="false" customHeight="false" outlineLevel="0" collapsed="false">
      <c r="A456" s="2" t="s">
        <v>208</v>
      </c>
      <c r="B456" s="2" t="s">
        <v>684</v>
      </c>
      <c r="C456" s="2" t="s">
        <v>627</v>
      </c>
      <c r="D456" s="2" t="s">
        <v>402</v>
      </c>
      <c r="E456" s="2" t="s">
        <v>168</v>
      </c>
    </row>
    <row r="457" customFormat="false" ht="15" hidden="false" customHeight="false" outlineLevel="0" collapsed="false">
      <c r="A457" s="2" t="s">
        <v>208</v>
      </c>
      <c r="B457" s="2" t="s">
        <v>410</v>
      </c>
      <c r="C457" s="2" t="s">
        <v>627</v>
      </c>
      <c r="D457" s="2" t="s">
        <v>402</v>
      </c>
      <c r="E457" s="2" t="s">
        <v>168</v>
      </c>
    </row>
    <row r="458" customFormat="false" ht="15" hidden="false" customHeight="false" outlineLevel="0" collapsed="false">
      <c r="A458" s="2" t="s">
        <v>208</v>
      </c>
      <c r="B458" s="2" t="s">
        <v>685</v>
      </c>
      <c r="C458" s="2" t="s">
        <v>627</v>
      </c>
      <c r="D458" s="2" t="s">
        <v>402</v>
      </c>
      <c r="E458" s="2" t="s">
        <v>170</v>
      </c>
    </row>
    <row r="459" customFormat="false" ht="15" hidden="false" customHeight="false" outlineLevel="0" collapsed="false">
      <c r="A459" s="2" t="s">
        <v>208</v>
      </c>
      <c r="B459" s="2" t="s">
        <v>686</v>
      </c>
      <c r="C459" s="2" t="s">
        <v>628</v>
      </c>
      <c r="D459" s="2" t="s">
        <v>687</v>
      </c>
      <c r="E459" s="2" t="s">
        <v>166</v>
      </c>
    </row>
    <row r="460" customFormat="false" ht="15" hidden="false" customHeight="false" outlineLevel="0" collapsed="false">
      <c r="A460" s="2" t="s">
        <v>208</v>
      </c>
      <c r="B460" s="2" t="s">
        <v>705</v>
      </c>
      <c r="C460" s="2" t="s">
        <v>639</v>
      </c>
      <c r="D460" s="2" t="s">
        <v>598</v>
      </c>
      <c r="E460" s="2" t="s">
        <v>170</v>
      </c>
    </row>
    <row r="461" customFormat="false" ht="15" hidden="false" customHeight="false" outlineLevel="0" collapsed="false">
      <c r="A461" s="2" t="s">
        <v>208</v>
      </c>
      <c r="B461" s="2" t="s">
        <v>705</v>
      </c>
      <c r="C461" s="2" t="s">
        <v>639</v>
      </c>
      <c r="D461" s="2" t="s">
        <v>598</v>
      </c>
      <c r="E461" s="2" t="s">
        <v>170</v>
      </c>
    </row>
    <row r="462" customFormat="false" ht="15" hidden="false" customHeight="false" outlineLevel="0" collapsed="false">
      <c r="A462" s="2" t="s">
        <v>208</v>
      </c>
      <c r="B462" s="2" t="s">
        <v>688</v>
      </c>
      <c r="C462" s="2" t="s">
        <v>645</v>
      </c>
      <c r="D462" s="2" t="s">
        <v>373</v>
      </c>
      <c r="E462" s="2" t="s">
        <v>170</v>
      </c>
    </row>
    <row r="463" customFormat="false" ht="15" hidden="false" customHeight="false" outlineLevel="0" collapsed="false">
      <c r="A463" s="2" t="s">
        <v>208</v>
      </c>
      <c r="B463" s="2" t="s">
        <v>709</v>
      </c>
      <c r="C463" s="2" t="s">
        <v>645</v>
      </c>
      <c r="D463" s="2" t="s">
        <v>710</v>
      </c>
      <c r="E463" s="2" t="s">
        <v>167</v>
      </c>
    </row>
    <row r="464" customFormat="false" ht="15" hidden="false" customHeight="false" outlineLevel="0" collapsed="false">
      <c r="A464" s="2" t="s">
        <v>209</v>
      </c>
      <c r="B464" s="2" t="s">
        <v>649</v>
      </c>
      <c r="C464" s="2" t="s">
        <v>635</v>
      </c>
      <c r="D464" s="2" t="s">
        <v>487</v>
      </c>
      <c r="E464" s="2" t="s">
        <v>166</v>
      </c>
    </row>
    <row r="465" customFormat="false" ht="15" hidden="false" customHeight="false" outlineLevel="0" collapsed="false">
      <c r="A465" s="2" t="s">
        <v>209</v>
      </c>
      <c r="B465" s="2" t="s">
        <v>650</v>
      </c>
      <c r="C465" s="2" t="s">
        <v>635</v>
      </c>
      <c r="D465" s="2" t="s">
        <v>651</v>
      </c>
      <c r="E465" s="2" t="s">
        <v>169</v>
      </c>
    </row>
    <row r="466" customFormat="false" ht="15" hidden="false" customHeight="false" outlineLevel="0" collapsed="false">
      <c r="A466" s="2" t="s">
        <v>209</v>
      </c>
      <c r="B466" s="2" t="s">
        <v>652</v>
      </c>
      <c r="C466" s="2" t="s">
        <v>635</v>
      </c>
      <c r="D466" s="2" t="s">
        <v>653</v>
      </c>
      <c r="E466" s="2" t="s">
        <v>169</v>
      </c>
    </row>
    <row r="467" customFormat="false" ht="15" hidden="false" customHeight="false" outlineLevel="0" collapsed="false">
      <c r="A467" s="2" t="s">
        <v>209</v>
      </c>
      <c r="B467" s="2" t="s">
        <v>654</v>
      </c>
      <c r="C467" s="2" t="s">
        <v>635</v>
      </c>
      <c r="D467" s="2" t="s">
        <v>655</v>
      </c>
      <c r="E467" s="2" t="s">
        <v>169</v>
      </c>
    </row>
    <row r="468" customFormat="false" ht="15" hidden="false" customHeight="false" outlineLevel="0" collapsed="false">
      <c r="A468" s="2" t="s">
        <v>209</v>
      </c>
      <c r="B468" s="2" t="s">
        <v>656</v>
      </c>
      <c r="C468" s="2" t="s">
        <v>642</v>
      </c>
      <c r="D468" s="2" t="s">
        <v>487</v>
      </c>
      <c r="E468" s="2" t="s">
        <v>166</v>
      </c>
    </row>
    <row r="469" customFormat="false" ht="15" hidden="false" customHeight="false" outlineLevel="0" collapsed="false">
      <c r="A469" s="2" t="s">
        <v>209</v>
      </c>
      <c r="B469" s="2" t="s">
        <v>320</v>
      </c>
      <c r="C469" s="2" t="s">
        <v>642</v>
      </c>
      <c r="D469" s="2" t="s">
        <v>657</v>
      </c>
      <c r="E469" s="2" t="s">
        <v>169</v>
      </c>
    </row>
    <row r="470" customFormat="false" ht="15" hidden="false" customHeight="false" outlineLevel="0" collapsed="false">
      <c r="A470" s="2" t="s">
        <v>209</v>
      </c>
      <c r="B470" s="2" t="s">
        <v>658</v>
      </c>
      <c r="C470" s="2" t="s">
        <v>642</v>
      </c>
      <c r="D470" s="2" t="s">
        <v>487</v>
      </c>
      <c r="E470" s="2" t="s">
        <v>166</v>
      </c>
    </row>
    <row r="471" customFormat="false" ht="15" hidden="false" customHeight="false" outlineLevel="0" collapsed="false">
      <c r="A471" s="2" t="s">
        <v>209</v>
      </c>
      <c r="B471" s="2" t="s">
        <v>324</v>
      </c>
      <c r="C471" s="2" t="s">
        <v>642</v>
      </c>
      <c r="D471" s="2" t="s">
        <v>610</v>
      </c>
      <c r="E471" s="2" t="s">
        <v>166</v>
      </c>
    </row>
    <row r="472" customFormat="false" ht="15" hidden="false" customHeight="false" outlineLevel="0" collapsed="false">
      <c r="A472" s="2" t="s">
        <v>209</v>
      </c>
      <c r="B472" s="2" t="s">
        <v>660</v>
      </c>
      <c r="C472" s="2" t="s">
        <v>640</v>
      </c>
      <c r="D472" s="2" t="s">
        <v>355</v>
      </c>
      <c r="E472" s="2" t="s">
        <v>166</v>
      </c>
    </row>
    <row r="473" customFormat="false" ht="15" hidden="false" customHeight="false" outlineLevel="0" collapsed="false">
      <c r="A473" s="2" t="s">
        <v>209</v>
      </c>
      <c r="B473" s="2" t="s">
        <v>661</v>
      </c>
      <c r="C473" s="2" t="s">
        <v>641</v>
      </c>
      <c r="D473" s="2" t="s">
        <v>355</v>
      </c>
      <c r="E473" s="2" t="s">
        <v>166</v>
      </c>
    </row>
    <row r="474" customFormat="false" ht="15" hidden="false" customHeight="false" outlineLevel="0" collapsed="false">
      <c r="A474" s="2" t="s">
        <v>209</v>
      </c>
      <c r="B474" s="2" t="s">
        <v>662</v>
      </c>
      <c r="C474" s="2" t="s">
        <v>630</v>
      </c>
      <c r="D474" s="2" t="s">
        <v>585</v>
      </c>
      <c r="E474" s="2" t="s">
        <v>167</v>
      </c>
    </row>
    <row r="475" customFormat="false" ht="15" hidden="false" customHeight="false" outlineLevel="0" collapsed="false">
      <c r="A475" s="2" t="s">
        <v>209</v>
      </c>
      <c r="B475" s="2" t="s">
        <v>667</v>
      </c>
      <c r="C475" s="2" t="s">
        <v>638</v>
      </c>
      <c r="D475" s="2" t="s">
        <v>668</v>
      </c>
      <c r="E475" s="2" t="s">
        <v>166</v>
      </c>
    </row>
    <row r="476" customFormat="false" ht="15" hidden="false" customHeight="false" outlineLevel="0" collapsed="false">
      <c r="A476" s="2" t="s">
        <v>209</v>
      </c>
      <c r="B476" s="2" t="s">
        <v>669</v>
      </c>
      <c r="C476" s="2" t="s">
        <v>636</v>
      </c>
      <c r="D476" s="2" t="s">
        <v>670</v>
      </c>
      <c r="E476" s="2" t="s">
        <v>166</v>
      </c>
    </row>
    <row r="477" customFormat="false" ht="15" hidden="false" customHeight="false" outlineLevel="0" collapsed="false">
      <c r="A477" s="2" t="s">
        <v>209</v>
      </c>
      <c r="B477" s="2" t="s">
        <v>671</v>
      </c>
      <c r="C477" s="2" t="s">
        <v>632</v>
      </c>
      <c r="D477" s="2" t="s">
        <v>672</v>
      </c>
      <c r="E477" s="2" t="s">
        <v>166</v>
      </c>
    </row>
    <row r="478" customFormat="false" ht="15" hidden="false" customHeight="false" outlineLevel="0" collapsed="false">
      <c r="A478" s="2" t="s">
        <v>209</v>
      </c>
      <c r="B478" s="2" t="s">
        <v>675</v>
      </c>
      <c r="C478" s="2" t="s">
        <v>632</v>
      </c>
      <c r="D478" s="2" t="s">
        <v>523</v>
      </c>
      <c r="E478" s="2" t="s">
        <v>168</v>
      </c>
    </row>
    <row r="479" customFormat="false" ht="15" hidden="false" customHeight="false" outlineLevel="0" collapsed="false">
      <c r="A479" s="2" t="s">
        <v>209</v>
      </c>
      <c r="B479" s="2" t="s">
        <v>412</v>
      </c>
      <c r="C479" s="2" t="s">
        <v>632</v>
      </c>
      <c r="D479" s="2" t="s">
        <v>523</v>
      </c>
      <c r="E479" s="2" t="s">
        <v>168</v>
      </c>
    </row>
    <row r="480" customFormat="false" ht="15" hidden="false" customHeight="false" outlineLevel="0" collapsed="false">
      <c r="A480" s="2" t="s">
        <v>209</v>
      </c>
      <c r="B480" s="2" t="s">
        <v>693</v>
      </c>
      <c r="C480" s="2" t="s">
        <v>632</v>
      </c>
      <c r="D480" s="2" t="s">
        <v>523</v>
      </c>
      <c r="E480" s="2" t="s">
        <v>170</v>
      </c>
    </row>
    <row r="481" customFormat="false" ht="15" hidden="false" customHeight="false" outlineLevel="0" collapsed="false">
      <c r="A481" s="2" t="s">
        <v>209</v>
      </c>
      <c r="B481" s="2" t="s">
        <v>694</v>
      </c>
      <c r="C481" s="2" t="s">
        <v>633</v>
      </c>
      <c r="D481" s="2" t="s">
        <v>677</v>
      </c>
      <c r="E481" s="2" t="s">
        <v>166</v>
      </c>
    </row>
    <row r="482" customFormat="false" ht="15" hidden="false" customHeight="false" outlineLevel="0" collapsed="false">
      <c r="A482" s="2" t="s">
        <v>209</v>
      </c>
      <c r="B482" s="2" t="s">
        <v>678</v>
      </c>
      <c r="C482" s="2" t="s">
        <v>634</v>
      </c>
      <c r="D482" s="2" t="s">
        <v>679</v>
      </c>
      <c r="E482" s="2" t="s">
        <v>166</v>
      </c>
    </row>
    <row r="483" customFormat="false" ht="15" hidden="false" customHeight="false" outlineLevel="0" collapsed="false">
      <c r="A483" s="2" t="s">
        <v>209</v>
      </c>
      <c r="B483" s="2" t="s">
        <v>680</v>
      </c>
      <c r="C483" s="2" t="s">
        <v>629</v>
      </c>
      <c r="D483" s="2" t="s">
        <v>703</v>
      </c>
      <c r="E483" s="2" t="s">
        <v>166</v>
      </c>
    </row>
    <row r="484" customFormat="false" ht="15" hidden="false" customHeight="false" outlineLevel="0" collapsed="false">
      <c r="A484" s="2" t="s">
        <v>209</v>
      </c>
      <c r="B484" s="2" t="s">
        <v>370</v>
      </c>
      <c r="C484" s="2" t="s">
        <v>627</v>
      </c>
      <c r="D484" s="2" t="s">
        <v>682</v>
      </c>
      <c r="E484" s="2" t="s">
        <v>166</v>
      </c>
    </row>
    <row r="485" customFormat="false" ht="15" hidden="false" customHeight="false" outlineLevel="0" collapsed="false">
      <c r="A485" s="2" t="s">
        <v>209</v>
      </c>
      <c r="B485" s="2" t="s">
        <v>684</v>
      </c>
      <c r="C485" s="2" t="s">
        <v>627</v>
      </c>
      <c r="D485" s="2" t="s">
        <v>402</v>
      </c>
      <c r="E485" s="2" t="s">
        <v>168</v>
      </c>
    </row>
    <row r="486" customFormat="false" ht="15" hidden="false" customHeight="false" outlineLevel="0" collapsed="false">
      <c r="A486" s="2" t="s">
        <v>209</v>
      </c>
      <c r="B486" s="2" t="s">
        <v>410</v>
      </c>
      <c r="C486" s="2" t="s">
        <v>627</v>
      </c>
      <c r="D486" s="2" t="s">
        <v>402</v>
      </c>
      <c r="E486" s="2" t="s">
        <v>168</v>
      </c>
    </row>
    <row r="487" customFormat="false" ht="15" hidden="false" customHeight="false" outlineLevel="0" collapsed="false">
      <c r="A487" s="2" t="s">
        <v>209</v>
      </c>
      <c r="B487" s="2" t="s">
        <v>685</v>
      </c>
      <c r="C487" s="2" t="s">
        <v>627</v>
      </c>
      <c r="D487" s="2" t="s">
        <v>402</v>
      </c>
      <c r="E487" s="2" t="s">
        <v>170</v>
      </c>
    </row>
    <row r="488" customFormat="false" ht="15" hidden="false" customHeight="false" outlineLevel="0" collapsed="false">
      <c r="A488" s="2" t="s">
        <v>209</v>
      </c>
      <c r="B488" s="2" t="s">
        <v>686</v>
      </c>
      <c r="C488" s="2" t="s">
        <v>628</v>
      </c>
      <c r="D488" s="2" t="s">
        <v>687</v>
      </c>
      <c r="E488" s="2" t="s">
        <v>166</v>
      </c>
    </row>
    <row r="489" customFormat="false" ht="15" hidden="false" customHeight="false" outlineLevel="0" collapsed="false">
      <c r="A489" s="2" t="s">
        <v>209</v>
      </c>
      <c r="B489" s="2" t="s">
        <v>688</v>
      </c>
      <c r="C489" s="2" t="s">
        <v>645</v>
      </c>
      <c r="D489" s="2" t="s">
        <v>373</v>
      </c>
      <c r="E489" s="2" t="s">
        <v>170</v>
      </c>
    </row>
    <row r="490" customFormat="false" ht="15" hidden="false" customHeight="false" outlineLevel="0" collapsed="false">
      <c r="A490" s="2" t="s">
        <v>209</v>
      </c>
      <c r="B490" s="2" t="s">
        <v>709</v>
      </c>
      <c r="C490" s="2" t="s">
        <v>645</v>
      </c>
      <c r="D490" s="2" t="s">
        <v>710</v>
      </c>
      <c r="E490" s="2" t="s">
        <v>167</v>
      </c>
    </row>
    <row r="491" customFormat="false" ht="15" hidden="false" customHeight="false" outlineLevel="0" collapsed="false">
      <c r="A491" s="2" t="s">
        <v>210</v>
      </c>
      <c r="B491" s="2" t="s">
        <v>649</v>
      </c>
      <c r="C491" s="2" t="s">
        <v>635</v>
      </c>
      <c r="D491" s="2" t="s">
        <v>487</v>
      </c>
      <c r="E491" s="2" t="s">
        <v>166</v>
      </c>
    </row>
    <row r="492" customFormat="false" ht="15" hidden="false" customHeight="false" outlineLevel="0" collapsed="false">
      <c r="A492" s="2" t="s">
        <v>210</v>
      </c>
      <c r="B492" s="2" t="s">
        <v>650</v>
      </c>
      <c r="C492" s="2" t="s">
        <v>635</v>
      </c>
      <c r="D492" s="2" t="s">
        <v>651</v>
      </c>
      <c r="E492" s="2" t="s">
        <v>169</v>
      </c>
    </row>
    <row r="493" customFormat="false" ht="15" hidden="false" customHeight="false" outlineLevel="0" collapsed="false">
      <c r="A493" s="2" t="s">
        <v>210</v>
      </c>
      <c r="B493" s="2" t="s">
        <v>652</v>
      </c>
      <c r="C493" s="2" t="s">
        <v>635</v>
      </c>
      <c r="D493" s="2" t="s">
        <v>653</v>
      </c>
      <c r="E493" s="2" t="s">
        <v>169</v>
      </c>
    </row>
    <row r="494" customFormat="false" ht="15" hidden="false" customHeight="false" outlineLevel="0" collapsed="false">
      <c r="A494" s="2" t="s">
        <v>210</v>
      </c>
      <c r="B494" s="2" t="s">
        <v>654</v>
      </c>
      <c r="C494" s="2" t="s">
        <v>635</v>
      </c>
      <c r="D494" s="2" t="s">
        <v>655</v>
      </c>
      <c r="E494" s="2" t="s">
        <v>169</v>
      </c>
    </row>
    <row r="495" customFormat="false" ht="15" hidden="false" customHeight="false" outlineLevel="0" collapsed="false">
      <c r="A495" s="2" t="s">
        <v>210</v>
      </c>
      <c r="B495" s="2" t="s">
        <v>656</v>
      </c>
      <c r="C495" s="2" t="s">
        <v>642</v>
      </c>
      <c r="D495" s="2" t="s">
        <v>487</v>
      </c>
      <c r="E495" s="2" t="s">
        <v>166</v>
      </c>
    </row>
    <row r="496" customFormat="false" ht="15" hidden="false" customHeight="false" outlineLevel="0" collapsed="false">
      <c r="A496" s="2" t="s">
        <v>210</v>
      </c>
      <c r="B496" s="2" t="s">
        <v>320</v>
      </c>
      <c r="C496" s="2" t="s">
        <v>642</v>
      </c>
      <c r="D496" s="2" t="s">
        <v>657</v>
      </c>
      <c r="E496" s="2" t="s">
        <v>169</v>
      </c>
    </row>
    <row r="497" customFormat="false" ht="15" hidden="false" customHeight="false" outlineLevel="0" collapsed="false">
      <c r="A497" s="2" t="s">
        <v>210</v>
      </c>
      <c r="B497" s="2" t="s">
        <v>658</v>
      </c>
      <c r="C497" s="2" t="s">
        <v>642</v>
      </c>
      <c r="D497" s="2" t="s">
        <v>487</v>
      </c>
      <c r="E497" s="2" t="s">
        <v>166</v>
      </c>
    </row>
    <row r="498" customFormat="false" ht="15" hidden="false" customHeight="false" outlineLevel="0" collapsed="false">
      <c r="A498" s="2" t="s">
        <v>210</v>
      </c>
      <c r="B498" s="2" t="s">
        <v>324</v>
      </c>
      <c r="C498" s="2" t="s">
        <v>642</v>
      </c>
      <c r="D498" s="2" t="s">
        <v>610</v>
      </c>
      <c r="E498" s="2" t="s">
        <v>166</v>
      </c>
    </row>
    <row r="499" customFormat="false" ht="15" hidden="false" customHeight="false" outlineLevel="0" collapsed="false">
      <c r="A499" s="2" t="s">
        <v>210</v>
      </c>
      <c r="B499" s="2" t="s">
        <v>660</v>
      </c>
      <c r="C499" s="2" t="s">
        <v>640</v>
      </c>
      <c r="D499" s="2" t="s">
        <v>355</v>
      </c>
      <c r="E499" s="2" t="s">
        <v>166</v>
      </c>
    </row>
    <row r="500" customFormat="false" ht="15" hidden="false" customHeight="false" outlineLevel="0" collapsed="false">
      <c r="A500" s="2" t="s">
        <v>210</v>
      </c>
      <c r="B500" s="2" t="s">
        <v>661</v>
      </c>
      <c r="C500" s="2" t="s">
        <v>641</v>
      </c>
      <c r="D500" s="2" t="s">
        <v>355</v>
      </c>
      <c r="E500" s="2" t="s">
        <v>166</v>
      </c>
    </row>
    <row r="501" customFormat="false" ht="15" hidden="false" customHeight="false" outlineLevel="0" collapsed="false">
      <c r="A501" s="2" t="s">
        <v>210</v>
      </c>
      <c r="B501" s="2" t="s">
        <v>662</v>
      </c>
      <c r="C501" s="2" t="s">
        <v>630</v>
      </c>
      <c r="D501" s="2" t="s">
        <v>585</v>
      </c>
      <c r="E501" s="2" t="s">
        <v>167</v>
      </c>
    </row>
    <row r="502" customFormat="false" ht="15" hidden="false" customHeight="false" outlineLevel="0" collapsed="false">
      <c r="A502" s="2" t="s">
        <v>210</v>
      </c>
      <c r="B502" s="2" t="s">
        <v>667</v>
      </c>
      <c r="C502" s="2" t="s">
        <v>638</v>
      </c>
      <c r="D502" s="2" t="s">
        <v>668</v>
      </c>
      <c r="E502" s="2" t="s">
        <v>166</v>
      </c>
    </row>
    <row r="503" customFormat="false" ht="15" hidden="false" customHeight="false" outlineLevel="0" collapsed="false">
      <c r="A503" s="2" t="s">
        <v>210</v>
      </c>
      <c r="B503" s="2" t="s">
        <v>669</v>
      </c>
      <c r="C503" s="2" t="s">
        <v>636</v>
      </c>
      <c r="D503" s="2" t="s">
        <v>670</v>
      </c>
      <c r="E503" s="2" t="s">
        <v>166</v>
      </c>
    </row>
    <row r="504" customFormat="false" ht="15" hidden="false" customHeight="false" outlineLevel="0" collapsed="false">
      <c r="A504" s="2" t="s">
        <v>210</v>
      </c>
      <c r="B504" s="2" t="s">
        <v>671</v>
      </c>
      <c r="C504" s="2" t="s">
        <v>632</v>
      </c>
      <c r="D504" s="2" t="s">
        <v>672</v>
      </c>
      <c r="E504" s="2" t="s">
        <v>166</v>
      </c>
    </row>
    <row r="505" customFormat="false" ht="15" hidden="false" customHeight="false" outlineLevel="0" collapsed="false">
      <c r="A505" s="2" t="s">
        <v>210</v>
      </c>
      <c r="B505" s="2" t="s">
        <v>675</v>
      </c>
      <c r="C505" s="2" t="s">
        <v>632</v>
      </c>
      <c r="D505" s="2" t="s">
        <v>523</v>
      </c>
      <c r="E505" s="2" t="s">
        <v>168</v>
      </c>
    </row>
    <row r="506" customFormat="false" ht="15" hidden="false" customHeight="false" outlineLevel="0" collapsed="false">
      <c r="A506" s="2" t="s">
        <v>210</v>
      </c>
      <c r="B506" s="2" t="s">
        <v>412</v>
      </c>
      <c r="C506" s="2" t="s">
        <v>632</v>
      </c>
      <c r="D506" s="2" t="s">
        <v>523</v>
      </c>
      <c r="E506" s="2" t="s">
        <v>168</v>
      </c>
    </row>
    <row r="507" customFormat="false" ht="15" hidden="false" customHeight="false" outlineLevel="0" collapsed="false">
      <c r="A507" s="2" t="s">
        <v>210</v>
      </c>
      <c r="B507" s="2" t="s">
        <v>693</v>
      </c>
      <c r="C507" s="2" t="s">
        <v>632</v>
      </c>
      <c r="D507" s="2" t="s">
        <v>523</v>
      </c>
      <c r="E507" s="2" t="s">
        <v>170</v>
      </c>
    </row>
    <row r="508" customFormat="false" ht="15" hidden="false" customHeight="false" outlineLevel="0" collapsed="false">
      <c r="A508" s="2" t="s">
        <v>210</v>
      </c>
      <c r="B508" s="2" t="s">
        <v>694</v>
      </c>
      <c r="C508" s="2" t="s">
        <v>633</v>
      </c>
      <c r="D508" s="2" t="s">
        <v>677</v>
      </c>
      <c r="E508" s="2" t="s">
        <v>166</v>
      </c>
    </row>
    <row r="509" customFormat="false" ht="15" hidden="false" customHeight="false" outlineLevel="0" collapsed="false">
      <c r="A509" s="2" t="s">
        <v>210</v>
      </c>
      <c r="B509" s="2" t="s">
        <v>678</v>
      </c>
      <c r="C509" s="2" t="s">
        <v>634</v>
      </c>
      <c r="D509" s="2" t="s">
        <v>679</v>
      </c>
      <c r="E509" s="2" t="s">
        <v>166</v>
      </c>
    </row>
    <row r="510" customFormat="false" ht="15" hidden="false" customHeight="false" outlineLevel="0" collapsed="false">
      <c r="A510" s="2" t="s">
        <v>210</v>
      </c>
      <c r="B510" s="2" t="s">
        <v>680</v>
      </c>
      <c r="C510" s="2" t="s">
        <v>629</v>
      </c>
      <c r="D510" s="2" t="s">
        <v>703</v>
      </c>
      <c r="E510" s="2" t="s">
        <v>166</v>
      </c>
    </row>
    <row r="511" customFormat="false" ht="15" hidden="false" customHeight="false" outlineLevel="0" collapsed="false">
      <c r="A511" s="2" t="s">
        <v>210</v>
      </c>
      <c r="B511" s="2" t="s">
        <v>370</v>
      </c>
      <c r="C511" s="2" t="s">
        <v>627</v>
      </c>
      <c r="D511" s="2" t="s">
        <v>682</v>
      </c>
      <c r="E511" s="2" t="s">
        <v>166</v>
      </c>
    </row>
    <row r="512" customFormat="false" ht="15" hidden="false" customHeight="false" outlineLevel="0" collapsed="false">
      <c r="A512" s="2" t="s">
        <v>210</v>
      </c>
      <c r="B512" s="2" t="s">
        <v>696</v>
      </c>
      <c r="C512" s="2" t="s">
        <v>627</v>
      </c>
      <c r="D512" s="2" t="s">
        <v>402</v>
      </c>
      <c r="E512" s="2" t="s">
        <v>168</v>
      </c>
    </row>
    <row r="513" customFormat="false" ht="15" hidden="false" customHeight="false" outlineLevel="0" collapsed="false">
      <c r="A513" s="2" t="s">
        <v>210</v>
      </c>
      <c r="B513" s="2" t="s">
        <v>697</v>
      </c>
      <c r="C513" s="2" t="s">
        <v>627</v>
      </c>
      <c r="D513" s="2" t="s">
        <v>402</v>
      </c>
      <c r="E513" s="2" t="s">
        <v>168</v>
      </c>
    </row>
    <row r="514" customFormat="false" ht="15" hidden="false" customHeight="false" outlineLevel="0" collapsed="false">
      <c r="A514" s="2" t="s">
        <v>210</v>
      </c>
      <c r="B514" s="2" t="s">
        <v>683</v>
      </c>
      <c r="C514" s="2" t="s">
        <v>627</v>
      </c>
      <c r="D514" s="2" t="s">
        <v>402</v>
      </c>
      <c r="E514" s="2" t="s">
        <v>168</v>
      </c>
    </row>
    <row r="515" customFormat="false" ht="15" hidden="false" customHeight="false" outlineLevel="0" collapsed="false">
      <c r="A515" s="2" t="s">
        <v>210</v>
      </c>
      <c r="B515" s="2" t="s">
        <v>684</v>
      </c>
      <c r="C515" s="2" t="s">
        <v>627</v>
      </c>
      <c r="D515" s="2" t="s">
        <v>402</v>
      </c>
      <c r="E515" s="2" t="s">
        <v>168</v>
      </c>
    </row>
    <row r="516" customFormat="false" ht="15" hidden="false" customHeight="false" outlineLevel="0" collapsed="false">
      <c r="A516" s="2" t="s">
        <v>210</v>
      </c>
      <c r="B516" s="2" t="s">
        <v>715</v>
      </c>
      <c r="C516" s="2" t="s">
        <v>627</v>
      </c>
      <c r="D516" s="2" t="s">
        <v>402</v>
      </c>
      <c r="E516" s="2" t="s">
        <v>168</v>
      </c>
    </row>
    <row r="517" customFormat="false" ht="15" hidden="false" customHeight="false" outlineLevel="0" collapsed="false">
      <c r="A517" s="2" t="s">
        <v>210</v>
      </c>
      <c r="B517" s="2" t="s">
        <v>410</v>
      </c>
      <c r="C517" s="2" t="s">
        <v>627</v>
      </c>
      <c r="D517" s="2" t="s">
        <v>402</v>
      </c>
      <c r="E517" s="2" t="s">
        <v>168</v>
      </c>
    </row>
    <row r="518" customFormat="false" ht="15" hidden="false" customHeight="false" outlineLevel="0" collapsed="false">
      <c r="A518" s="2" t="s">
        <v>210</v>
      </c>
      <c r="B518" s="2" t="s">
        <v>708</v>
      </c>
      <c r="C518" s="2" t="s">
        <v>628</v>
      </c>
      <c r="D518" s="2" t="s">
        <v>687</v>
      </c>
      <c r="E518" s="2" t="s">
        <v>166</v>
      </c>
    </row>
    <row r="519" customFormat="false" ht="15" hidden="false" customHeight="false" outlineLevel="0" collapsed="false">
      <c r="A519" s="2" t="s">
        <v>210</v>
      </c>
      <c r="B519" s="2" t="s">
        <v>688</v>
      </c>
      <c r="C519" s="2" t="s">
        <v>645</v>
      </c>
      <c r="D519" s="2" t="s">
        <v>373</v>
      </c>
      <c r="E519" s="2" t="s">
        <v>170</v>
      </c>
    </row>
    <row r="520" customFormat="false" ht="15" hidden="false" customHeight="false" outlineLevel="0" collapsed="false">
      <c r="A520" s="2" t="s">
        <v>210</v>
      </c>
      <c r="B520" s="2" t="s">
        <v>689</v>
      </c>
      <c r="C520" s="2" t="s">
        <v>645</v>
      </c>
      <c r="D520" s="2" t="s">
        <v>690</v>
      </c>
      <c r="E520" s="2" t="s">
        <v>167</v>
      </c>
    </row>
    <row r="521" customFormat="false" ht="15" hidden="false" customHeight="false" outlineLevel="0" collapsed="false">
      <c r="A521" s="2" t="s">
        <v>210</v>
      </c>
      <c r="B521" s="2" t="s">
        <v>691</v>
      </c>
      <c r="C521" s="2" t="s">
        <v>645</v>
      </c>
      <c r="D521" s="2" t="s">
        <v>690</v>
      </c>
      <c r="E521" s="2" t="s">
        <v>167</v>
      </c>
    </row>
    <row r="522" customFormat="false" ht="15" hidden="false" customHeight="false" outlineLevel="0" collapsed="false">
      <c r="A522" s="2" t="s">
        <v>212</v>
      </c>
      <c r="B522" s="2" t="s">
        <v>649</v>
      </c>
      <c r="C522" s="2" t="s">
        <v>635</v>
      </c>
      <c r="D522" s="2" t="s">
        <v>487</v>
      </c>
      <c r="E522" s="2" t="s">
        <v>166</v>
      </c>
    </row>
    <row r="523" customFormat="false" ht="15" hidden="false" customHeight="false" outlineLevel="0" collapsed="false">
      <c r="A523" s="2" t="s">
        <v>212</v>
      </c>
      <c r="B523" s="2" t="s">
        <v>650</v>
      </c>
      <c r="C523" s="2" t="s">
        <v>635</v>
      </c>
      <c r="D523" s="2" t="s">
        <v>651</v>
      </c>
      <c r="E523" s="2" t="s">
        <v>169</v>
      </c>
    </row>
    <row r="524" customFormat="false" ht="15" hidden="false" customHeight="false" outlineLevel="0" collapsed="false">
      <c r="A524" s="2" t="s">
        <v>212</v>
      </c>
      <c r="B524" s="2" t="s">
        <v>652</v>
      </c>
      <c r="C524" s="2" t="s">
        <v>635</v>
      </c>
      <c r="D524" s="2" t="s">
        <v>653</v>
      </c>
      <c r="E524" s="2" t="s">
        <v>169</v>
      </c>
    </row>
    <row r="525" customFormat="false" ht="15" hidden="false" customHeight="false" outlineLevel="0" collapsed="false">
      <c r="A525" s="2" t="s">
        <v>212</v>
      </c>
      <c r="B525" s="2" t="s">
        <v>654</v>
      </c>
      <c r="C525" s="2" t="s">
        <v>635</v>
      </c>
      <c r="D525" s="2" t="s">
        <v>655</v>
      </c>
      <c r="E525" s="2" t="s">
        <v>169</v>
      </c>
    </row>
    <row r="526" customFormat="false" ht="15" hidden="false" customHeight="false" outlineLevel="0" collapsed="false">
      <c r="A526" s="2" t="s">
        <v>212</v>
      </c>
      <c r="B526" s="2" t="s">
        <v>706</v>
      </c>
      <c r="C526" s="2" t="s">
        <v>635</v>
      </c>
      <c r="D526" s="2" t="s">
        <v>548</v>
      </c>
      <c r="E526" s="2" t="s">
        <v>166</v>
      </c>
    </row>
    <row r="527" customFormat="false" ht="15" hidden="false" customHeight="false" outlineLevel="0" collapsed="false">
      <c r="A527" s="2" t="s">
        <v>212</v>
      </c>
      <c r="B527" s="2" t="s">
        <v>656</v>
      </c>
      <c r="C527" s="2" t="s">
        <v>642</v>
      </c>
      <c r="D527" s="2" t="s">
        <v>487</v>
      </c>
      <c r="E527" s="2" t="s">
        <v>166</v>
      </c>
    </row>
    <row r="528" customFormat="false" ht="15" hidden="false" customHeight="false" outlineLevel="0" collapsed="false">
      <c r="A528" s="2" t="s">
        <v>212</v>
      </c>
      <c r="B528" s="2" t="s">
        <v>320</v>
      </c>
      <c r="C528" s="2" t="s">
        <v>642</v>
      </c>
      <c r="D528" s="2" t="s">
        <v>579</v>
      </c>
      <c r="E528" s="2" t="s">
        <v>167</v>
      </c>
    </row>
    <row r="529" customFormat="false" ht="15" hidden="false" customHeight="false" outlineLevel="0" collapsed="false">
      <c r="A529" s="2" t="s">
        <v>212</v>
      </c>
      <c r="B529" s="2" t="s">
        <v>658</v>
      </c>
      <c r="C529" s="2" t="s">
        <v>642</v>
      </c>
      <c r="D529" s="2" t="s">
        <v>487</v>
      </c>
      <c r="E529" s="2" t="s">
        <v>166</v>
      </c>
    </row>
    <row r="530" customFormat="false" ht="15" hidden="false" customHeight="false" outlineLevel="0" collapsed="false">
      <c r="A530" s="2" t="s">
        <v>212</v>
      </c>
      <c r="B530" s="2" t="s">
        <v>324</v>
      </c>
      <c r="C530" s="2" t="s">
        <v>642</v>
      </c>
      <c r="D530" s="2" t="s">
        <v>610</v>
      </c>
      <c r="E530" s="2" t="s">
        <v>166</v>
      </c>
    </row>
    <row r="531" customFormat="false" ht="15" hidden="false" customHeight="false" outlineLevel="0" collapsed="false">
      <c r="A531" s="2" t="s">
        <v>212</v>
      </c>
      <c r="B531" s="2" t="s">
        <v>660</v>
      </c>
      <c r="C531" s="2" t="s">
        <v>640</v>
      </c>
      <c r="D531" s="2" t="s">
        <v>355</v>
      </c>
      <c r="E531" s="2" t="s">
        <v>166</v>
      </c>
    </row>
    <row r="532" customFormat="false" ht="15" hidden="false" customHeight="false" outlineLevel="0" collapsed="false">
      <c r="A532" s="2" t="s">
        <v>212</v>
      </c>
      <c r="B532" s="2" t="s">
        <v>661</v>
      </c>
      <c r="C532" s="2" t="s">
        <v>641</v>
      </c>
      <c r="D532" s="2" t="s">
        <v>355</v>
      </c>
      <c r="E532" s="2" t="s">
        <v>166</v>
      </c>
    </row>
    <row r="533" customFormat="false" ht="15" hidden="false" customHeight="false" outlineLevel="0" collapsed="false">
      <c r="A533" s="2" t="s">
        <v>212</v>
      </c>
      <c r="B533" s="2" t="s">
        <v>662</v>
      </c>
      <c r="C533" s="2" t="s">
        <v>630</v>
      </c>
      <c r="D533" s="2" t="s">
        <v>585</v>
      </c>
      <c r="E533" s="2" t="s">
        <v>167</v>
      </c>
    </row>
    <row r="534" customFormat="false" ht="15" hidden="false" customHeight="false" outlineLevel="0" collapsed="false">
      <c r="A534" s="2" t="s">
        <v>212</v>
      </c>
      <c r="B534" s="2" t="s">
        <v>667</v>
      </c>
      <c r="C534" s="2" t="s">
        <v>638</v>
      </c>
      <c r="D534" s="2" t="s">
        <v>668</v>
      </c>
      <c r="E534" s="2" t="s">
        <v>166</v>
      </c>
    </row>
    <row r="535" customFormat="false" ht="15" hidden="false" customHeight="false" outlineLevel="0" collapsed="false">
      <c r="A535" s="2" t="s">
        <v>212</v>
      </c>
      <c r="B535" s="2" t="s">
        <v>669</v>
      </c>
      <c r="C535" s="2" t="s">
        <v>636</v>
      </c>
      <c r="D535" s="2" t="s">
        <v>670</v>
      </c>
      <c r="E535" s="2" t="s">
        <v>166</v>
      </c>
    </row>
    <row r="536" customFormat="false" ht="15" hidden="false" customHeight="false" outlineLevel="0" collapsed="false">
      <c r="A536" s="2" t="s">
        <v>212</v>
      </c>
      <c r="B536" s="2" t="s">
        <v>671</v>
      </c>
      <c r="C536" s="2" t="s">
        <v>632</v>
      </c>
      <c r="D536" s="2" t="s">
        <v>672</v>
      </c>
      <c r="E536" s="2" t="s">
        <v>166</v>
      </c>
    </row>
    <row r="537" customFormat="false" ht="15" hidden="false" customHeight="false" outlineLevel="0" collapsed="false">
      <c r="A537" s="2" t="s">
        <v>212</v>
      </c>
      <c r="B537" s="2" t="s">
        <v>673</v>
      </c>
      <c r="C537" s="2" t="s">
        <v>632</v>
      </c>
      <c r="D537" s="2" t="s">
        <v>523</v>
      </c>
      <c r="E537" s="2" t="s">
        <v>168</v>
      </c>
    </row>
    <row r="538" customFormat="false" ht="15" hidden="false" customHeight="false" outlineLevel="0" collapsed="false">
      <c r="A538" s="2" t="s">
        <v>212</v>
      </c>
      <c r="B538" s="2" t="s">
        <v>674</v>
      </c>
      <c r="C538" s="2" t="s">
        <v>632</v>
      </c>
      <c r="D538" s="2" t="s">
        <v>523</v>
      </c>
      <c r="E538" s="2" t="s">
        <v>168</v>
      </c>
    </row>
    <row r="539" customFormat="false" ht="15" hidden="false" customHeight="false" outlineLevel="0" collapsed="false">
      <c r="A539" s="2" t="s">
        <v>212</v>
      </c>
      <c r="B539" s="2" t="s">
        <v>692</v>
      </c>
      <c r="C539" s="2" t="s">
        <v>632</v>
      </c>
      <c r="D539" s="2" t="s">
        <v>523</v>
      </c>
      <c r="E539" s="2" t="s">
        <v>168</v>
      </c>
    </row>
    <row r="540" customFormat="false" ht="15" hidden="false" customHeight="false" outlineLevel="0" collapsed="false">
      <c r="A540" s="2" t="s">
        <v>212</v>
      </c>
      <c r="B540" s="2" t="s">
        <v>675</v>
      </c>
      <c r="C540" s="2" t="s">
        <v>632</v>
      </c>
      <c r="D540" s="2" t="s">
        <v>523</v>
      </c>
      <c r="E540" s="2" t="s">
        <v>168</v>
      </c>
    </row>
    <row r="541" customFormat="false" ht="15" hidden="false" customHeight="false" outlineLevel="0" collapsed="false">
      <c r="A541" s="2" t="s">
        <v>212</v>
      </c>
      <c r="B541" s="2" t="s">
        <v>702</v>
      </c>
      <c r="C541" s="2" t="s">
        <v>632</v>
      </c>
      <c r="D541" s="2" t="s">
        <v>523</v>
      </c>
      <c r="E541" s="2" t="s">
        <v>168</v>
      </c>
    </row>
    <row r="542" customFormat="false" ht="15" hidden="false" customHeight="false" outlineLevel="0" collapsed="false">
      <c r="A542" s="2" t="s">
        <v>212</v>
      </c>
      <c r="B542" s="2" t="s">
        <v>412</v>
      </c>
      <c r="C542" s="2" t="s">
        <v>632</v>
      </c>
      <c r="D542" s="2" t="s">
        <v>523</v>
      </c>
      <c r="E542" s="2" t="s">
        <v>168</v>
      </c>
    </row>
    <row r="543" customFormat="false" ht="15" hidden="false" customHeight="false" outlineLevel="0" collapsed="false">
      <c r="A543" s="2" t="s">
        <v>212</v>
      </c>
      <c r="B543" s="2" t="s">
        <v>676</v>
      </c>
      <c r="C543" s="2" t="s">
        <v>633</v>
      </c>
      <c r="D543" s="2" t="s">
        <v>677</v>
      </c>
      <c r="E543" s="2" t="s">
        <v>166</v>
      </c>
    </row>
    <row r="544" customFormat="false" ht="15" hidden="false" customHeight="false" outlineLevel="0" collapsed="false">
      <c r="A544" s="2" t="s">
        <v>212</v>
      </c>
      <c r="B544" s="2" t="s">
        <v>678</v>
      </c>
      <c r="C544" s="2" t="s">
        <v>634</v>
      </c>
      <c r="D544" s="2" t="s">
        <v>679</v>
      </c>
      <c r="E544" s="2" t="s">
        <v>166</v>
      </c>
    </row>
    <row r="545" customFormat="false" ht="15" hidden="false" customHeight="false" outlineLevel="0" collapsed="false">
      <c r="A545" s="2" t="s">
        <v>212</v>
      </c>
      <c r="B545" s="2" t="s">
        <v>680</v>
      </c>
      <c r="C545" s="2" t="s">
        <v>629</v>
      </c>
      <c r="D545" s="2" t="s">
        <v>681</v>
      </c>
      <c r="E545" s="2" t="s">
        <v>169</v>
      </c>
    </row>
    <row r="546" customFormat="false" ht="15" hidden="false" customHeight="false" outlineLevel="0" collapsed="false">
      <c r="A546" s="2" t="s">
        <v>212</v>
      </c>
      <c r="B546" s="2" t="s">
        <v>370</v>
      </c>
      <c r="C546" s="2" t="s">
        <v>627</v>
      </c>
      <c r="D546" s="2" t="s">
        <v>682</v>
      </c>
      <c r="E546" s="2" t="s">
        <v>166</v>
      </c>
    </row>
    <row r="547" customFormat="false" ht="15" hidden="false" customHeight="false" outlineLevel="0" collapsed="false">
      <c r="A547" s="2" t="s">
        <v>212</v>
      </c>
      <c r="B547" s="2" t="s">
        <v>696</v>
      </c>
      <c r="C547" s="2" t="s">
        <v>627</v>
      </c>
      <c r="D547" s="2" t="s">
        <v>402</v>
      </c>
      <c r="E547" s="2" t="s">
        <v>168</v>
      </c>
    </row>
    <row r="548" customFormat="false" ht="15" hidden="false" customHeight="false" outlineLevel="0" collapsed="false">
      <c r="A548" s="2" t="s">
        <v>212</v>
      </c>
      <c r="B548" s="2" t="s">
        <v>697</v>
      </c>
      <c r="C548" s="2" t="s">
        <v>627</v>
      </c>
      <c r="D548" s="2" t="s">
        <v>402</v>
      </c>
      <c r="E548" s="2" t="s">
        <v>168</v>
      </c>
    </row>
    <row r="549" customFormat="false" ht="15" hidden="false" customHeight="false" outlineLevel="0" collapsed="false">
      <c r="A549" s="2" t="s">
        <v>212</v>
      </c>
      <c r="B549" s="2" t="s">
        <v>684</v>
      </c>
      <c r="C549" s="2" t="s">
        <v>627</v>
      </c>
      <c r="D549" s="2" t="s">
        <v>402</v>
      </c>
      <c r="E549" s="2" t="s">
        <v>168</v>
      </c>
    </row>
    <row r="550" customFormat="false" ht="15" hidden="false" customHeight="false" outlineLevel="0" collapsed="false">
      <c r="A550" s="2" t="s">
        <v>212</v>
      </c>
      <c r="B550" s="2" t="s">
        <v>410</v>
      </c>
      <c r="C550" s="2" t="s">
        <v>627</v>
      </c>
      <c r="D550" s="2" t="s">
        <v>402</v>
      </c>
      <c r="E550" s="2" t="s">
        <v>168</v>
      </c>
    </row>
    <row r="551" customFormat="false" ht="15" hidden="false" customHeight="false" outlineLevel="0" collapsed="false">
      <c r="A551" s="2" t="s">
        <v>212</v>
      </c>
      <c r="B551" s="2" t="s">
        <v>686</v>
      </c>
      <c r="C551" s="2" t="s">
        <v>628</v>
      </c>
      <c r="D551" s="2" t="s">
        <v>687</v>
      </c>
      <c r="E551" s="2" t="s">
        <v>166</v>
      </c>
    </row>
    <row r="552" customFormat="false" ht="15" hidden="false" customHeight="false" outlineLevel="0" collapsed="false">
      <c r="A552" s="2" t="s">
        <v>212</v>
      </c>
      <c r="B552" s="2" t="s">
        <v>688</v>
      </c>
      <c r="C552" s="2" t="s">
        <v>645</v>
      </c>
      <c r="D552" s="2" t="s">
        <v>373</v>
      </c>
      <c r="E552" s="2" t="s">
        <v>170</v>
      </c>
    </row>
    <row r="553" customFormat="false" ht="15" hidden="false" customHeight="false" outlineLevel="0" collapsed="false">
      <c r="A553" s="2" t="s">
        <v>212</v>
      </c>
      <c r="B553" s="2" t="s">
        <v>689</v>
      </c>
      <c r="C553" s="2" t="s">
        <v>645</v>
      </c>
      <c r="D553" s="2" t="s">
        <v>690</v>
      </c>
      <c r="E553" s="2" t="s">
        <v>167</v>
      </c>
    </row>
    <row r="554" customFormat="false" ht="15" hidden="false" customHeight="false" outlineLevel="0" collapsed="false">
      <c r="A554" s="2" t="s">
        <v>212</v>
      </c>
      <c r="B554" s="2" t="s">
        <v>691</v>
      </c>
      <c r="C554" s="2" t="s">
        <v>645</v>
      </c>
      <c r="D554" s="2" t="s">
        <v>690</v>
      </c>
      <c r="E554" s="2" t="s">
        <v>167</v>
      </c>
    </row>
    <row r="555" customFormat="false" ht="15" hidden="false" customHeight="false" outlineLevel="0" collapsed="false">
      <c r="A555" s="2" t="s">
        <v>214</v>
      </c>
      <c r="B555" s="2" t="s">
        <v>649</v>
      </c>
      <c r="C555" s="2" t="s">
        <v>635</v>
      </c>
      <c r="D555" s="2" t="s">
        <v>487</v>
      </c>
      <c r="E555" s="2" t="s">
        <v>166</v>
      </c>
    </row>
    <row r="556" customFormat="false" ht="15" hidden="false" customHeight="false" outlineLevel="0" collapsed="false">
      <c r="A556" s="2" t="s">
        <v>214</v>
      </c>
      <c r="B556" s="2" t="s">
        <v>650</v>
      </c>
      <c r="C556" s="2" t="s">
        <v>635</v>
      </c>
      <c r="D556" s="2" t="s">
        <v>651</v>
      </c>
      <c r="E556" s="2" t="s">
        <v>169</v>
      </c>
    </row>
    <row r="557" customFormat="false" ht="15" hidden="false" customHeight="false" outlineLevel="0" collapsed="false">
      <c r="A557" s="2" t="s">
        <v>214</v>
      </c>
      <c r="B557" s="2" t="s">
        <v>652</v>
      </c>
      <c r="C557" s="2" t="s">
        <v>635</v>
      </c>
      <c r="D557" s="2" t="s">
        <v>653</v>
      </c>
      <c r="E557" s="2" t="s">
        <v>169</v>
      </c>
    </row>
    <row r="558" customFormat="false" ht="15" hidden="false" customHeight="false" outlineLevel="0" collapsed="false">
      <c r="A558" s="2" t="s">
        <v>214</v>
      </c>
      <c r="B558" s="2" t="s">
        <v>654</v>
      </c>
      <c r="C558" s="2" t="s">
        <v>635</v>
      </c>
      <c r="D558" s="2" t="s">
        <v>655</v>
      </c>
      <c r="E558" s="2" t="s">
        <v>169</v>
      </c>
    </row>
    <row r="559" customFormat="false" ht="15" hidden="false" customHeight="false" outlineLevel="0" collapsed="false">
      <c r="A559" s="2" t="s">
        <v>214</v>
      </c>
      <c r="B559" s="2" t="s">
        <v>656</v>
      </c>
      <c r="C559" s="2" t="s">
        <v>642</v>
      </c>
      <c r="D559" s="2" t="s">
        <v>487</v>
      </c>
      <c r="E559" s="2" t="s">
        <v>166</v>
      </c>
    </row>
    <row r="560" customFormat="false" ht="15" hidden="false" customHeight="false" outlineLevel="0" collapsed="false">
      <c r="A560" s="2" t="s">
        <v>214</v>
      </c>
      <c r="B560" s="2" t="s">
        <v>320</v>
      </c>
      <c r="C560" s="2" t="s">
        <v>642</v>
      </c>
      <c r="D560" s="2" t="s">
        <v>657</v>
      </c>
      <c r="E560" s="2" t="s">
        <v>169</v>
      </c>
    </row>
    <row r="561" customFormat="false" ht="15" hidden="false" customHeight="false" outlineLevel="0" collapsed="false">
      <c r="A561" s="2" t="s">
        <v>214</v>
      </c>
      <c r="B561" s="2" t="s">
        <v>658</v>
      </c>
      <c r="C561" s="2" t="s">
        <v>642</v>
      </c>
      <c r="D561" s="2" t="s">
        <v>487</v>
      </c>
      <c r="E561" s="2" t="s">
        <v>166</v>
      </c>
    </row>
    <row r="562" customFormat="false" ht="15" hidden="false" customHeight="false" outlineLevel="0" collapsed="false">
      <c r="A562" s="2" t="s">
        <v>214</v>
      </c>
      <c r="B562" s="2" t="s">
        <v>324</v>
      </c>
      <c r="C562" s="2" t="s">
        <v>642</v>
      </c>
      <c r="D562" s="2" t="s">
        <v>610</v>
      </c>
      <c r="E562" s="2" t="s">
        <v>166</v>
      </c>
    </row>
    <row r="563" customFormat="false" ht="15" hidden="false" customHeight="false" outlineLevel="0" collapsed="false">
      <c r="A563" s="2" t="s">
        <v>214</v>
      </c>
      <c r="B563" s="2" t="s">
        <v>704</v>
      </c>
      <c r="C563" s="2" t="s">
        <v>643</v>
      </c>
      <c r="D563" s="2" t="s">
        <v>494</v>
      </c>
      <c r="E563" s="2" t="s">
        <v>167</v>
      </c>
    </row>
    <row r="564" customFormat="false" ht="15" hidden="false" customHeight="false" outlineLevel="0" collapsed="false">
      <c r="A564" s="2" t="s">
        <v>214</v>
      </c>
      <c r="B564" s="2" t="s">
        <v>660</v>
      </c>
      <c r="C564" s="2" t="s">
        <v>640</v>
      </c>
      <c r="D564" s="2" t="s">
        <v>355</v>
      </c>
      <c r="E564" s="2" t="s">
        <v>166</v>
      </c>
    </row>
    <row r="565" customFormat="false" ht="15" hidden="false" customHeight="false" outlineLevel="0" collapsed="false">
      <c r="A565" s="2" t="s">
        <v>214</v>
      </c>
      <c r="B565" s="2" t="s">
        <v>661</v>
      </c>
      <c r="C565" s="2" t="s">
        <v>641</v>
      </c>
      <c r="D565" s="2" t="s">
        <v>355</v>
      </c>
      <c r="E565" s="2" t="s">
        <v>166</v>
      </c>
    </row>
    <row r="566" customFormat="false" ht="15" hidden="false" customHeight="false" outlineLevel="0" collapsed="false">
      <c r="A566" s="2" t="s">
        <v>214</v>
      </c>
      <c r="B566" s="2" t="s">
        <v>662</v>
      </c>
      <c r="C566" s="2" t="s">
        <v>630</v>
      </c>
      <c r="D566" s="2" t="s">
        <v>585</v>
      </c>
      <c r="E566" s="2" t="s">
        <v>167</v>
      </c>
    </row>
    <row r="567" customFormat="false" ht="15" hidden="false" customHeight="false" outlineLevel="0" collapsed="false">
      <c r="A567" s="2" t="s">
        <v>214</v>
      </c>
      <c r="B567" s="2" t="s">
        <v>667</v>
      </c>
      <c r="C567" s="2" t="s">
        <v>638</v>
      </c>
      <c r="D567" s="2" t="s">
        <v>668</v>
      </c>
      <c r="E567" s="2" t="s">
        <v>166</v>
      </c>
    </row>
    <row r="568" customFormat="false" ht="15" hidden="false" customHeight="false" outlineLevel="0" collapsed="false">
      <c r="A568" s="2" t="s">
        <v>214</v>
      </c>
      <c r="B568" s="2" t="s">
        <v>669</v>
      </c>
      <c r="C568" s="2" t="s">
        <v>636</v>
      </c>
      <c r="D568" s="2" t="s">
        <v>670</v>
      </c>
      <c r="E568" s="2" t="s">
        <v>166</v>
      </c>
    </row>
    <row r="569" customFormat="false" ht="15" hidden="false" customHeight="false" outlineLevel="0" collapsed="false">
      <c r="A569" s="2" t="s">
        <v>214</v>
      </c>
      <c r="B569" s="2" t="s">
        <v>671</v>
      </c>
      <c r="C569" s="2" t="s">
        <v>632</v>
      </c>
      <c r="D569" s="2" t="s">
        <v>672</v>
      </c>
      <c r="E569" s="2" t="s">
        <v>166</v>
      </c>
    </row>
    <row r="570" customFormat="false" ht="15" hidden="false" customHeight="false" outlineLevel="0" collapsed="false">
      <c r="A570" s="2" t="s">
        <v>214</v>
      </c>
      <c r="B570" s="2" t="s">
        <v>675</v>
      </c>
      <c r="C570" s="2" t="s">
        <v>632</v>
      </c>
      <c r="D570" s="2" t="s">
        <v>523</v>
      </c>
      <c r="E570" s="2" t="s">
        <v>168</v>
      </c>
    </row>
    <row r="571" customFormat="false" ht="15" hidden="false" customHeight="false" outlineLevel="0" collapsed="false">
      <c r="A571" s="2" t="s">
        <v>214</v>
      </c>
      <c r="B571" s="2" t="s">
        <v>412</v>
      </c>
      <c r="C571" s="2" t="s">
        <v>632</v>
      </c>
      <c r="D571" s="2" t="s">
        <v>523</v>
      </c>
      <c r="E571" s="2" t="s">
        <v>168</v>
      </c>
    </row>
    <row r="572" customFormat="false" ht="15" hidden="false" customHeight="false" outlineLevel="0" collapsed="false">
      <c r="A572" s="2" t="s">
        <v>214</v>
      </c>
      <c r="B572" s="2" t="s">
        <v>693</v>
      </c>
      <c r="C572" s="2" t="s">
        <v>632</v>
      </c>
      <c r="D572" s="2" t="s">
        <v>523</v>
      </c>
      <c r="E572" s="2" t="s">
        <v>170</v>
      </c>
    </row>
    <row r="573" customFormat="false" ht="15" hidden="false" customHeight="false" outlineLevel="0" collapsed="false">
      <c r="A573" s="2" t="s">
        <v>214</v>
      </c>
      <c r="B573" s="2" t="s">
        <v>694</v>
      </c>
      <c r="C573" s="2" t="s">
        <v>633</v>
      </c>
      <c r="D573" s="2" t="s">
        <v>677</v>
      </c>
      <c r="E573" s="2" t="s">
        <v>166</v>
      </c>
    </row>
    <row r="574" customFormat="false" ht="15" hidden="false" customHeight="false" outlineLevel="0" collapsed="false">
      <c r="A574" s="2" t="s">
        <v>214</v>
      </c>
      <c r="B574" s="2" t="s">
        <v>678</v>
      </c>
      <c r="C574" s="2" t="s">
        <v>634</v>
      </c>
      <c r="D574" s="2" t="s">
        <v>695</v>
      </c>
      <c r="E574" s="2" t="s">
        <v>169</v>
      </c>
    </row>
    <row r="575" customFormat="false" ht="15" hidden="false" customHeight="false" outlineLevel="0" collapsed="false">
      <c r="A575" s="2" t="s">
        <v>214</v>
      </c>
      <c r="B575" s="2" t="s">
        <v>680</v>
      </c>
      <c r="C575" s="2" t="s">
        <v>629</v>
      </c>
      <c r="D575" s="2" t="s">
        <v>681</v>
      </c>
      <c r="E575" s="2" t="s">
        <v>169</v>
      </c>
    </row>
    <row r="576" customFormat="false" ht="15" hidden="false" customHeight="false" outlineLevel="0" collapsed="false">
      <c r="A576" s="2" t="s">
        <v>214</v>
      </c>
      <c r="B576" s="2" t="s">
        <v>370</v>
      </c>
      <c r="C576" s="2" t="s">
        <v>627</v>
      </c>
      <c r="D576" s="2" t="s">
        <v>682</v>
      </c>
      <c r="E576" s="2" t="s">
        <v>166</v>
      </c>
    </row>
    <row r="577" customFormat="false" ht="15" hidden="false" customHeight="false" outlineLevel="0" collapsed="false">
      <c r="A577" s="2" t="s">
        <v>214</v>
      </c>
      <c r="B577" s="2" t="s">
        <v>696</v>
      </c>
      <c r="C577" s="2" t="s">
        <v>627</v>
      </c>
      <c r="D577" s="2" t="s">
        <v>402</v>
      </c>
      <c r="E577" s="2" t="s">
        <v>168</v>
      </c>
    </row>
    <row r="578" customFormat="false" ht="15" hidden="false" customHeight="false" outlineLevel="0" collapsed="false">
      <c r="A578" s="2" t="s">
        <v>214</v>
      </c>
      <c r="B578" s="2" t="s">
        <v>697</v>
      </c>
      <c r="C578" s="2" t="s">
        <v>627</v>
      </c>
      <c r="D578" s="2" t="s">
        <v>402</v>
      </c>
      <c r="E578" s="2" t="s">
        <v>168</v>
      </c>
    </row>
    <row r="579" customFormat="false" ht="15" hidden="false" customHeight="false" outlineLevel="0" collapsed="false">
      <c r="A579" s="2" t="s">
        <v>214</v>
      </c>
      <c r="B579" s="2" t="s">
        <v>683</v>
      </c>
      <c r="C579" s="2" t="s">
        <v>627</v>
      </c>
      <c r="D579" s="2" t="s">
        <v>402</v>
      </c>
      <c r="E579" s="2" t="s">
        <v>168</v>
      </c>
    </row>
    <row r="580" customFormat="false" ht="15" hidden="false" customHeight="false" outlineLevel="0" collapsed="false">
      <c r="A580" s="2" t="s">
        <v>214</v>
      </c>
      <c r="B580" s="2" t="s">
        <v>684</v>
      </c>
      <c r="C580" s="2" t="s">
        <v>627</v>
      </c>
      <c r="D580" s="2" t="s">
        <v>402</v>
      </c>
      <c r="E580" s="2" t="s">
        <v>168</v>
      </c>
    </row>
    <row r="581" customFormat="false" ht="15" hidden="false" customHeight="false" outlineLevel="0" collapsed="false">
      <c r="A581" s="2" t="s">
        <v>214</v>
      </c>
      <c r="B581" s="2" t="s">
        <v>410</v>
      </c>
      <c r="C581" s="2" t="s">
        <v>627</v>
      </c>
      <c r="D581" s="2" t="s">
        <v>402</v>
      </c>
      <c r="E581" s="2" t="s">
        <v>168</v>
      </c>
    </row>
    <row r="582" customFormat="false" ht="15" hidden="false" customHeight="false" outlineLevel="0" collapsed="false">
      <c r="A582" s="2" t="s">
        <v>214</v>
      </c>
      <c r="B582" s="2" t="s">
        <v>686</v>
      </c>
      <c r="C582" s="2" t="s">
        <v>628</v>
      </c>
      <c r="D582" s="2" t="s">
        <v>687</v>
      </c>
      <c r="E582" s="2" t="s">
        <v>166</v>
      </c>
    </row>
    <row r="583" customFormat="false" ht="15" hidden="false" customHeight="false" outlineLevel="0" collapsed="false">
      <c r="A583" s="2" t="s">
        <v>214</v>
      </c>
      <c r="B583" s="2" t="s">
        <v>688</v>
      </c>
      <c r="C583" s="2" t="s">
        <v>645</v>
      </c>
      <c r="D583" s="2" t="s">
        <v>373</v>
      </c>
      <c r="E583" s="2" t="s">
        <v>170</v>
      </c>
    </row>
    <row r="584" customFormat="false" ht="15" hidden="false" customHeight="false" outlineLevel="0" collapsed="false">
      <c r="A584" s="2" t="s">
        <v>216</v>
      </c>
      <c r="B584" s="2" t="s">
        <v>649</v>
      </c>
      <c r="C584" s="2" t="s">
        <v>635</v>
      </c>
      <c r="D584" s="2" t="s">
        <v>487</v>
      </c>
      <c r="E584" s="2" t="s">
        <v>166</v>
      </c>
    </row>
    <row r="585" customFormat="false" ht="15" hidden="false" customHeight="false" outlineLevel="0" collapsed="false">
      <c r="A585" s="2" t="s">
        <v>216</v>
      </c>
      <c r="B585" s="2" t="s">
        <v>650</v>
      </c>
      <c r="C585" s="2" t="s">
        <v>635</v>
      </c>
      <c r="D585" s="2" t="s">
        <v>651</v>
      </c>
      <c r="E585" s="2" t="s">
        <v>169</v>
      </c>
    </row>
    <row r="586" customFormat="false" ht="15" hidden="false" customHeight="false" outlineLevel="0" collapsed="false">
      <c r="A586" s="2" t="s">
        <v>216</v>
      </c>
      <c r="B586" s="2" t="s">
        <v>652</v>
      </c>
      <c r="C586" s="2" t="s">
        <v>635</v>
      </c>
      <c r="D586" s="2" t="s">
        <v>653</v>
      </c>
      <c r="E586" s="2" t="s">
        <v>169</v>
      </c>
    </row>
    <row r="587" customFormat="false" ht="15" hidden="false" customHeight="false" outlineLevel="0" collapsed="false">
      <c r="A587" s="2" t="s">
        <v>216</v>
      </c>
      <c r="B587" s="2" t="s">
        <v>654</v>
      </c>
      <c r="C587" s="2" t="s">
        <v>635</v>
      </c>
      <c r="D587" s="2" t="s">
        <v>655</v>
      </c>
      <c r="E587" s="2" t="s">
        <v>169</v>
      </c>
    </row>
    <row r="588" customFormat="false" ht="15" hidden="false" customHeight="false" outlineLevel="0" collapsed="false">
      <c r="A588" s="2" t="s">
        <v>216</v>
      </c>
      <c r="B588" s="2" t="s">
        <v>656</v>
      </c>
      <c r="C588" s="2" t="s">
        <v>642</v>
      </c>
      <c r="D588" s="2" t="s">
        <v>487</v>
      </c>
      <c r="E588" s="2" t="s">
        <v>166</v>
      </c>
    </row>
    <row r="589" customFormat="false" ht="15" hidden="false" customHeight="false" outlineLevel="0" collapsed="false">
      <c r="A589" s="2" t="s">
        <v>216</v>
      </c>
      <c r="B589" s="2" t="s">
        <v>320</v>
      </c>
      <c r="C589" s="2" t="s">
        <v>642</v>
      </c>
      <c r="D589" s="2" t="s">
        <v>657</v>
      </c>
      <c r="E589" s="2" t="s">
        <v>169</v>
      </c>
    </row>
    <row r="590" customFormat="false" ht="15" hidden="false" customHeight="false" outlineLevel="0" collapsed="false">
      <c r="A590" s="2" t="s">
        <v>216</v>
      </c>
      <c r="B590" s="2" t="s">
        <v>658</v>
      </c>
      <c r="C590" s="2" t="s">
        <v>642</v>
      </c>
      <c r="D590" s="2" t="s">
        <v>487</v>
      </c>
      <c r="E590" s="2" t="s">
        <v>166</v>
      </c>
    </row>
    <row r="591" customFormat="false" ht="15" hidden="false" customHeight="false" outlineLevel="0" collapsed="false">
      <c r="A591" s="2" t="s">
        <v>216</v>
      </c>
      <c r="B591" s="2" t="s">
        <v>324</v>
      </c>
      <c r="C591" s="2" t="s">
        <v>642</v>
      </c>
      <c r="D591" s="2" t="s">
        <v>610</v>
      </c>
      <c r="E591" s="2" t="s">
        <v>166</v>
      </c>
    </row>
    <row r="592" customFormat="false" ht="15" hidden="false" customHeight="false" outlineLevel="0" collapsed="false">
      <c r="A592" s="2" t="s">
        <v>216</v>
      </c>
      <c r="B592" s="2" t="s">
        <v>660</v>
      </c>
      <c r="C592" s="2" t="s">
        <v>640</v>
      </c>
      <c r="D592" s="2" t="s">
        <v>355</v>
      </c>
      <c r="E592" s="2" t="s">
        <v>166</v>
      </c>
    </row>
    <row r="593" customFormat="false" ht="15" hidden="false" customHeight="false" outlineLevel="0" collapsed="false">
      <c r="A593" s="2" t="s">
        <v>216</v>
      </c>
      <c r="B593" s="2" t="s">
        <v>661</v>
      </c>
      <c r="C593" s="2" t="s">
        <v>641</v>
      </c>
      <c r="D593" s="2" t="s">
        <v>355</v>
      </c>
      <c r="E593" s="2" t="s">
        <v>166</v>
      </c>
    </row>
    <row r="594" customFormat="false" ht="15" hidden="false" customHeight="false" outlineLevel="0" collapsed="false">
      <c r="A594" s="2" t="s">
        <v>216</v>
      </c>
      <c r="B594" s="2" t="s">
        <v>662</v>
      </c>
      <c r="C594" s="2" t="s">
        <v>630</v>
      </c>
      <c r="D594" s="2" t="s">
        <v>585</v>
      </c>
      <c r="E594" s="2" t="s">
        <v>167</v>
      </c>
    </row>
    <row r="595" customFormat="false" ht="15" hidden="false" customHeight="false" outlineLevel="0" collapsed="false">
      <c r="A595" s="2" t="s">
        <v>216</v>
      </c>
      <c r="B595" s="2" t="s">
        <v>663</v>
      </c>
      <c r="C595" s="2" t="s">
        <v>631</v>
      </c>
      <c r="D595" s="2" t="s">
        <v>664</v>
      </c>
      <c r="E595" s="2" t="s">
        <v>166</v>
      </c>
    </row>
    <row r="596" customFormat="false" ht="15" hidden="false" customHeight="false" outlineLevel="0" collapsed="false">
      <c r="A596" s="2" t="s">
        <v>216</v>
      </c>
      <c r="B596" s="2" t="s">
        <v>665</v>
      </c>
      <c r="C596" s="2" t="s">
        <v>631</v>
      </c>
      <c r="D596" s="2" t="s">
        <v>666</v>
      </c>
      <c r="E596" s="2" t="s">
        <v>169</v>
      </c>
    </row>
    <row r="597" customFormat="false" ht="15" hidden="false" customHeight="false" outlineLevel="0" collapsed="false">
      <c r="A597" s="2" t="s">
        <v>216</v>
      </c>
      <c r="B597" s="2" t="s">
        <v>667</v>
      </c>
      <c r="C597" s="2" t="s">
        <v>638</v>
      </c>
      <c r="D597" s="2" t="s">
        <v>668</v>
      </c>
      <c r="E597" s="2" t="s">
        <v>166</v>
      </c>
    </row>
    <row r="598" customFormat="false" ht="15" hidden="false" customHeight="false" outlineLevel="0" collapsed="false">
      <c r="A598" s="2" t="s">
        <v>216</v>
      </c>
      <c r="B598" s="2" t="s">
        <v>669</v>
      </c>
      <c r="C598" s="2" t="s">
        <v>636</v>
      </c>
      <c r="D598" s="2" t="s">
        <v>670</v>
      </c>
      <c r="E598" s="2" t="s">
        <v>166</v>
      </c>
    </row>
    <row r="599" customFormat="false" ht="15" hidden="false" customHeight="false" outlineLevel="0" collapsed="false">
      <c r="A599" s="2" t="s">
        <v>216</v>
      </c>
      <c r="B599" s="2" t="s">
        <v>671</v>
      </c>
      <c r="C599" s="2" t="s">
        <v>632</v>
      </c>
      <c r="D599" s="2" t="s">
        <v>672</v>
      </c>
      <c r="E599" s="2" t="s">
        <v>166</v>
      </c>
    </row>
    <row r="600" customFormat="false" ht="15" hidden="false" customHeight="false" outlineLevel="0" collapsed="false">
      <c r="A600" s="2" t="s">
        <v>216</v>
      </c>
      <c r="B600" s="2" t="s">
        <v>673</v>
      </c>
      <c r="C600" s="2" t="s">
        <v>632</v>
      </c>
      <c r="D600" s="2" t="s">
        <v>523</v>
      </c>
      <c r="E600" s="2" t="s">
        <v>168</v>
      </c>
    </row>
    <row r="601" customFormat="false" ht="15" hidden="false" customHeight="false" outlineLevel="0" collapsed="false">
      <c r="A601" s="2" t="s">
        <v>216</v>
      </c>
      <c r="B601" s="2" t="s">
        <v>674</v>
      </c>
      <c r="C601" s="2" t="s">
        <v>632</v>
      </c>
      <c r="D601" s="2" t="s">
        <v>523</v>
      </c>
      <c r="E601" s="2" t="s">
        <v>168</v>
      </c>
    </row>
    <row r="602" customFormat="false" ht="15" hidden="false" customHeight="false" outlineLevel="0" collapsed="false">
      <c r="A602" s="2" t="s">
        <v>216</v>
      </c>
      <c r="B602" s="2" t="s">
        <v>692</v>
      </c>
      <c r="C602" s="2" t="s">
        <v>632</v>
      </c>
      <c r="D602" s="2" t="s">
        <v>523</v>
      </c>
      <c r="E602" s="2" t="s">
        <v>168</v>
      </c>
    </row>
    <row r="603" customFormat="false" ht="15" hidden="false" customHeight="false" outlineLevel="0" collapsed="false">
      <c r="A603" s="2" t="s">
        <v>216</v>
      </c>
      <c r="B603" s="2" t="s">
        <v>675</v>
      </c>
      <c r="C603" s="2" t="s">
        <v>632</v>
      </c>
      <c r="D603" s="2" t="s">
        <v>523</v>
      </c>
      <c r="E603" s="2" t="s">
        <v>168</v>
      </c>
    </row>
    <row r="604" customFormat="false" ht="15" hidden="false" customHeight="false" outlineLevel="0" collapsed="false">
      <c r="A604" s="2" t="s">
        <v>216</v>
      </c>
      <c r="B604" s="2" t="s">
        <v>702</v>
      </c>
      <c r="C604" s="2" t="s">
        <v>632</v>
      </c>
      <c r="D604" s="2" t="s">
        <v>523</v>
      </c>
      <c r="E604" s="2" t="s">
        <v>168</v>
      </c>
    </row>
    <row r="605" customFormat="false" ht="15" hidden="false" customHeight="false" outlineLevel="0" collapsed="false">
      <c r="A605" s="2" t="s">
        <v>216</v>
      </c>
      <c r="B605" s="2" t="s">
        <v>412</v>
      </c>
      <c r="C605" s="2" t="s">
        <v>632</v>
      </c>
      <c r="D605" s="2" t="s">
        <v>523</v>
      </c>
      <c r="E605" s="2" t="s">
        <v>168</v>
      </c>
    </row>
    <row r="606" customFormat="false" ht="15" hidden="false" customHeight="false" outlineLevel="0" collapsed="false">
      <c r="A606" s="2" t="s">
        <v>216</v>
      </c>
      <c r="B606" s="2" t="s">
        <v>676</v>
      </c>
      <c r="C606" s="2" t="s">
        <v>633</v>
      </c>
      <c r="D606" s="2" t="s">
        <v>677</v>
      </c>
      <c r="E606" s="2" t="s">
        <v>166</v>
      </c>
    </row>
    <row r="607" customFormat="false" ht="15" hidden="false" customHeight="false" outlineLevel="0" collapsed="false">
      <c r="A607" s="2" t="s">
        <v>216</v>
      </c>
      <c r="B607" s="2" t="s">
        <v>678</v>
      </c>
      <c r="C607" s="2" t="s">
        <v>634</v>
      </c>
      <c r="D607" s="2" t="s">
        <v>679</v>
      </c>
      <c r="E607" s="2" t="s">
        <v>166</v>
      </c>
    </row>
    <row r="608" customFormat="false" ht="15" hidden="false" customHeight="false" outlineLevel="0" collapsed="false">
      <c r="A608" s="2" t="s">
        <v>216</v>
      </c>
      <c r="B608" s="2" t="s">
        <v>680</v>
      </c>
      <c r="C608" s="2" t="s">
        <v>629</v>
      </c>
      <c r="D608" s="2" t="s">
        <v>681</v>
      </c>
      <c r="E608" s="2" t="s">
        <v>169</v>
      </c>
    </row>
    <row r="609" customFormat="false" ht="15" hidden="false" customHeight="false" outlineLevel="0" collapsed="false">
      <c r="A609" s="2" t="s">
        <v>216</v>
      </c>
      <c r="B609" s="2" t="s">
        <v>370</v>
      </c>
      <c r="C609" s="2" t="s">
        <v>627</v>
      </c>
      <c r="D609" s="2" t="s">
        <v>682</v>
      </c>
      <c r="E609" s="2" t="s">
        <v>166</v>
      </c>
    </row>
    <row r="610" customFormat="false" ht="15" hidden="false" customHeight="false" outlineLevel="0" collapsed="false">
      <c r="A610" s="2" t="s">
        <v>216</v>
      </c>
      <c r="B610" s="2" t="s">
        <v>684</v>
      </c>
      <c r="C610" s="2" t="s">
        <v>627</v>
      </c>
      <c r="D610" s="2" t="s">
        <v>402</v>
      </c>
      <c r="E610" s="2" t="s">
        <v>168</v>
      </c>
    </row>
    <row r="611" customFormat="false" ht="15" hidden="false" customHeight="false" outlineLevel="0" collapsed="false">
      <c r="A611" s="2" t="s">
        <v>216</v>
      </c>
      <c r="B611" s="2" t="s">
        <v>410</v>
      </c>
      <c r="C611" s="2" t="s">
        <v>627</v>
      </c>
      <c r="D611" s="2" t="s">
        <v>402</v>
      </c>
      <c r="E611" s="2" t="s">
        <v>168</v>
      </c>
    </row>
    <row r="612" customFormat="false" ht="15" hidden="false" customHeight="false" outlineLevel="0" collapsed="false">
      <c r="A612" s="2" t="s">
        <v>216</v>
      </c>
      <c r="B612" s="2" t="s">
        <v>685</v>
      </c>
      <c r="C612" s="2" t="s">
        <v>627</v>
      </c>
      <c r="D612" s="2" t="s">
        <v>402</v>
      </c>
      <c r="E612" s="2" t="s">
        <v>170</v>
      </c>
    </row>
    <row r="613" customFormat="false" ht="15" hidden="false" customHeight="false" outlineLevel="0" collapsed="false">
      <c r="A613" s="2" t="s">
        <v>216</v>
      </c>
      <c r="B613" s="2" t="s">
        <v>686</v>
      </c>
      <c r="C613" s="2" t="s">
        <v>628</v>
      </c>
      <c r="D613" s="2" t="s">
        <v>687</v>
      </c>
      <c r="E613" s="2" t="s">
        <v>166</v>
      </c>
    </row>
    <row r="614" customFormat="false" ht="15" hidden="false" customHeight="false" outlineLevel="0" collapsed="false">
      <c r="A614" s="2" t="s">
        <v>216</v>
      </c>
      <c r="B614" s="2" t="s">
        <v>688</v>
      </c>
      <c r="C614" s="2" t="s">
        <v>645</v>
      </c>
      <c r="D614" s="2" t="s">
        <v>373</v>
      </c>
      <c r="E614" s="2" t="s">
        <v>170</v>
      </c>
    </row>
    <row r="615" customFormat="false" ht="15" hidden="false" customHeight="false" outlineLevel="0" collapsed="false">
      <c r="A615" s="2" t="s">
        <v>218</v>
      </c>
      <c r="B615" s="2" t="s">
        <v>649</v>
      </c>
      <c r="C615" s="2" t="s">
        <v>635</v>
      </c>
      <c r="D615" s="2" t="s">
        <v>487</v>
      </c>
      <c r="E615" s="2" t="s">
        <v>166</v>
      </c>
    </row>
    <row r="616" customFormat="false" ht="15" hidden="false" customHeight="false" outlineLevel="0" collapsed="false">
      <c r="A616" s="2" t="s">
        <v>218</v>
      </c>
      <c r="B616" s="2" t="s">
        <v>650</v>
      </c>
      <c r="C616" s="2" t="s">
        <v>635</v>
      </c>
      <c r="D616" s="2" t="s">
        <v>651</v>
      </c>
      <c r="E616" s="2" t="s">
        <v>169</v>
      </c>
    </row>
    <row r="617" customFormat="false" ht="15" hidden="false" customHeight="false" outlineLevel="0" collapsed="false">
      <c r="A617" s="2" t="s">
        <v>218</v>
      </c>
      <c r="B617" s="2" t="s">
        <v>652</v>
      </c>
      <c r="C617" s="2" t="s">
        <v>635</v>
      </c>
      <c r="D617" s="2" t="s">
        <v>653</v>
      </c>
      <c r="E617" s="2" t="s">
        <v>169</v>
      </c>
    </row>
    <row r="618" customFormat="false" ht="15" hidden="false" customHeight="false" outlineLevel="0" collapsed="false">
      <c r="A618" s="2" t="s">
        <v>218</v>
      </c>
      <c r="B618" s="2" t="s">
        <v>654</v>
      </c>
      <c r="C618" s="2" t="s">
        <v>635</v>
      </c>
      <c r="D618" s="2" t="s">
        <v>655</v>
      </c>
      <c r="E618" s="2" t="s">
        <v>169</v>
      </c>
    </row>
    <row r="619" customFormat="false" ht="15" hidden="false" customHeight="false" outlineLevel="0" collapsed="false">
      <c r="A619" s="2" t="s">
        <v>218</v>
      </c>
      <c r="B619" s="2" t="s">
        <v>656</v>
      </c>
      <c r="C619" s="2" t="s">
        <v>642</v>
      </c>
      <c r="D619" s="2" t="s">
        <v>487</v>
      </c>
      <c r="E619" s="2" t="s">
        <v>166</v>
      </c>
    </row>
    <row r="620" customFormat="false" ht="15" hidden="false" customHeight="false" outlineLevel="0" collapsed="false">
      <c r="A620" s="2" t="s">
        <v>218</v>
      </c>
      <c r="B620" s="2" t="s">
        <v>320</v>
      </c>
      <c r="C620" s="2" t="s">
        <v>642</v>
      </c>
      <c r="D620" s="2" t="s">
        <v>657</v>
      </c>
      <c r="E620" s="2" t="s">
        <v>169</v>
      </c>
    </row>
    <row r="621" customFormat="false" ht="15" hidden="false" customHeight="false" outlineLevel="0" collapsed="false">
      <c r="A621" s="2" t="s">
        <v>218</v>
      </c>
      <c r="B621" s="2" t="s">
        <v>658</v>
      </c>
      <c r="C621" s="2" t="s">
        <v>642</v>
      </c>
      <c r="D621" s="2" t="s">
        <v>487</v>
      </c>
      <c r="E621" s="2" t="s">
        <v>166</v>
      </c>
    </row>
    <row r="622" customFormat="false" ht="15" hidden="false" customHeight="false" outlineLevel="0" collapsed="false">
      <c r="A622" s="2" t="s">
        <v>218</v>
      </c>
      <c r="B622" s="2" t="s">
        <v>324</v>
      </c>
      <c r="C622" s="2" t="s">
        <v>642</v>
      </c>
      <c r="D622" s="2" t="s">
        <v>610</v>
      </c>
      <c r="E622" s="2" t="s">
        <v>166</v>
      </c>
    </row>
    <row r="623" customFormat="false" ht="15" hidden="false" customHeight="false" outlineLevel="0" collapsed="false">
      <c r="A623" s="2" t="s">
        <v>218</v>
      </c>
      <c r="B623" s="2" t="s">
        <v>660</v>
      </c>
      <c r="C623" s="2" t="s">
        <v>640</v>
      </c>
      <c r="D623" s="2" t="s">
        <v>355</v>
      </c>
      <c r="E623" s="2" t="s">
        <v>166</v>
      </c>
    </row>
    <row r="624" customFormat="false" ht="15" hidden="false" customHeight="false" outlineLevel="0" collapsed="false">
      <c r="A624" s="2" t="s">
        <v>218</v>
      </c>
      <c r="B624" s="2" t="s">
        <v>661</v>
      </c>
      <c r="C624" s="2" t="s">
        <v>641</v>
      </c>
      <c r="D624" s="2" t="s">
        <v>355</v>
      </c>
      <c r="E624" s="2" t="s">
        <v>166</v>
      </c>
    </row>
    <row r="625" customFormat="false" ht="15" hidden="false" customHeight="false" outlineLevel="0" collapsed="false">
      <c r="A625" s="2" t="s">
        <v>218</v>
      </c>
      <c r="B625" s="2" t="s">
        <v>662</v>
      </c>
      <c r="C625" s="2" t="s">
        <v>630</v>
      </c>
      <c r="D625" s="2" t="s">
        <v>585</v>
      </c>
      <c r="E625" s="2" t="s">
        <v>167</v>
      </c>
    </row>
    <row r="626" customFormat="false" ht="15" hidden="false" customHeight="false" outlineLevel="0" collapsed="false">
      <c r="A626" s="2" t="s">
        <v>218</v>
      </c>
      <c r="B626" s="2" t="s">
        <v>667</v>
      </c>
      <c r="C626" s="2" t="s">
        <v>638</v>
      </c>
      <c r="D626" s="2" t="s">
        <v>668</v>
      </c>
      <c r="E626" s="2" t="s">
        <v>166</v>
      </c>
    </row>
    <row r="627" customFormat="false" ht="15" hidden="false" customHeight="false" outlineLevel="0" collapsed="false">
      <c r="A627" s="2" t="s">
        <v>218</v>
      </c>
      <c r="B627" s="2" t="s">
        <v>669</v>
      </c>
      <c r="C627" s="2" t="s">
        <v>636</v>
      </c>
      <c r="D627" s="2" t="s">
        <v>670</v>
      </c>
      <c r="E627" s="2" t="s">
        <v>166</v>
      </c>
    </row>
    <row r="628" customFormat="false" ht="15" hidden="false" customHeight="false" outlineLevel="0" collapsed="false">
      <c r="A628" s="2" t="s">
        <v>218</v>
      </c>
      <c r="B628" s="2" t="s">
        <v>671</v>
      </c>
      <c r="C628" s="2" t="s">
        <v>632</v>
      </c>
      <c r="D628" s="2" t="s">
        <v>672</v>
      </c>
      <c r="E628" s="2" t="s">
        <v>166</v>
      </c>
    </row>
    <row r="629" customFormat="false" ht="15" hidden="false" customHeight="false" outlineLevel="0" collapsed="false">
      <c r="A629" s="2" t="s">
        <v>218</v>
      </c>
      <c r="B629" s="2" t="s">
        <v>675</v>
      </c>
      <c r="C629" s="2" t="s">
        <v>632</v>
      </c>
      <c r="D629" s="2" t="s">
        <v>523</v>
      </c>
      <c r="E629" s="2" t="s">
        <v>168</v>
      </c>
    </row>
    <row r="630" customFormat="false" ht="15" hidden="false" customHeight="false" outlineLevel="0" collapsed="false">
      <c r="A630" s="2" t="s">
        <v>218</v>
      </c>
      <c r="B630" s="2" t="s">
        <v>412</v>
      </c>
      <c r="C630" s="2" t="s">
        <v>632</v>
      </c>
      <c r="D630" s="2" t="s">
        <v>523</v>
      </c>
      <c r="E630" s="2" t="s">
        <v>168</v>
      </c>
    </row>
    <row r="631" customFormat="false" ht="15" hidden="false" customHeight="false" outlineLevel="0" collapsed="false">
      <c r="A631" s="2" t="s">
        <v>218</v>
      </c>
      <c r="B631" s="2" t="s">
        <v>693</v>
      </c>
      <c r="C631" s="2" t="s">
        <v>632</v>
      </c>
      <c r="D631" s="2" t="s">
        <v>523</v>
      </c>
      <c r="E631" s="2" t="s">
        <v>170</v>
      </c>
    </row>
    <row r="632" customFormat="false" ht="15" hidden="false" customHeight="false" outlineLevel="0" collapsed="false">
      <c r="A632" s="2" t="s">
        <v>218</v>
      </c>
      <c r="B632" s="2" t="s">
        <v>694</v>
      </c>
      <c r="C632" s="2" t="s">
        <v>633</v>
      </c>
      <c r="D632" s="2" t="s">
        <v>677</v>
      </c>
      <c r="E632" s="2" t="s">
        <v>166</v>
      </c>
    </row>
    <row r="633" customFormat="false" ht="15" hidden="false" customHeight="false" outlineLevel="0" collapsed="false">
      <c r="A633" s="2" t="s">
        <v>218</v>
      </c>
      <c r="B633" s="2" t="s">
        <v>678</v>
      </c>
      <c r="C633" s="2" t="s">
        <v>634</v>
      </c>
      <c r="D633" s="2" t="s">
        <v>679</v>
      </c>
      <c r="E633" s="2" t="s">
        <v>166</v>
      </c>
    </row>
    <row r="634" customFormat="false" ht="15" hidden="false" customHeight="false" outlineLevel="0" collapsed="false">
      <c r="A634" s="2" t="s">
        <v>218</v>
      </c>
      <c r="B634" s="2" t="s">
        <v>680</v>
      </c>
      <c r="C634" s="2" t="s">
        <v>629</v>
      </c>
      <c r="D634" s="2" t="s">
        <v>703</v>
      </c>
      <c r="E634" s="2" t="s">
        <v>166</v>
      </c>
    </row>
    <row r="635" customFormat="false" ht="15" hidden="false" customHeight="false" outlineLevel="0" collapsed="false">
      <c r="A635" s="2" t="s">
        <v>218</v>
      </c>
      <c r="B635" s="2" t="s">
        <v>370</v>
      </c>
      <c r="C635" s="2" t="s">
        <v>627</v>
      </c>
      <c r="D635" s="2" t="s">
        <v>682</v>
      </c>
      <c r="E635" s="2" t="s">
        <v>166</v>
      </c>
    </row>
    <row r="636" customFormat="false" ht="15" hidden="false" customHeight="false" outlineLevel="0" collapsed="false">
      <c r="A636" s="2" t="s">
        <v>218</v>
      </c>
      <c r="B636" s="2" t="s">
        <v>684</v>
      </c>
      <c r="C636" s="2" t="s">
        <v>627</v>
      </c>
      <c r="D636" s="2" t="s">
        <v>402</v>
      </c>
      <c r="E636" s="2" t="s">
        <v>168</v>
      </c>
    </row>
    <row r="637" customFormat="false" ht="15" hidden="false" customHeight="false" outlineLevel="0" collapsed="false">
      <c r="A637" s="2" t="s">
        <v>218</v>
      </c>
      <c r="B637" s="2" t="s">
        <v>410</v>
      </c>
      <c r="C637" s="2" t="s">
        <v>627</v>
      </c>
      <c r="D637" s="2" t="s">
        <v>402</v>
      </c>
      <c r="E637" s="2" t="s">
        <v>168</v>
      </c>
    </row>
    <row r="638" customFormat="false" ht="15" hidden="false" customHeight="false" outlineLevel="0" collapsed="false">
      <c r="A638" s="2" t="s">
        <v>218</v>
      </c>
      <c r="B638" s="2" t="s">
        <v>685</v>
      </c>
      <c r="C638" s="2" t="s">
        <v>627</v>
      </c>
      <c r="D638" s="2" t="s">
        <v>402</v>
      </c>
      <c r="E638" s="2" t="s">
        <v>170</v>
      </c>
    </row>
    <row r="639" customFormat="false" ht="15" hidden="false" customHeight="false" outlineLevel="0" collapsed="false">
      <c r="A639" s="2" t="s">
        <v>218</v>
      </c>
      <c r="B639" s="2" t="s">
        <v>686</v>
      </c>
      <c r="C639" s="2" t="s">
        <v>628</v>
      </c>
      <c r="D639" s="2" t="s">
        <v>687</v>
      </c>
      <c r="E639" s="2" t="s">
        <v>166</v>
      </c>
    </row>
    <row r="640" customFormat="false" ht="15" hidden="false" customHeight="false" outlineLevel="0" collapsed="false">
      <c r="A640" s="2" t="s">
        <v>218</v>
      </c>
      <c r="B640" s="2" t="s">
        <v>688</v>
      </c>
      <c r="C640" s="2" t="s">
        <v>645</v>
      </c>
      <c r="D640" s="2" t="s">
        <v>373</v>
      </c>
      <c r="E640" s="2" t="s">
        <v>170</v>
      </c>
    </row>
    <row r="641" customFormat="false" ht="15" hidden="false" customHeight="false" outlineLevel="0" collapsed="false">
      <c r="A641" s="2" t="s">
        <v>221</v>
      </c>
      <c r="B641" s="2" t="s">
        <v>649</v>
      </c>
      <c r="C641" s="2" t="s">
        <v>635</v>
      </c>
      <c r="D641" s="2" t="s">
        <v>487</v>
      </c>
      <c r="E641" s="2" t="s">
        <v>166</v>
      </c>
    </row>
    <row r="642" customFormat="false" ht="15" hidden="false" customHeight="false" outlineLevel="0" collapsed="false">
      <c r="A642" s="2" t="s">
        <v>221</v>
      </c>
      <c r="B642" s="2" t="s">
        <v>650</v>
      </c>
      <c r="C642" s="2" t="s">
        <v>635</v>
      </c>
      <c r="D642" s="2" t="s">
        <v>651</v>
      </c>
      <c r="E642" s="2" t="s">
        <v>169</v>
      </c>
    </row>
    <row r="643" customFormat="false" ht="15" hidden="false" customHeight="false" outlineLevel="0" collapsed="false">
      <c r="A643" s="2" t="s">
        <v>221</v>
      </c>
      <c r="B643" s="2" t="s">
        <v>652</v>
      </c>
      <c r="C643" s="2" t="s">
        <v>635</v>
      </c>
      <c r="D643" s="2" t="s">
        <v>653</v>
      </c>
      <c r="E643" s="2" t="s">
        <v>169</v>
      </c>
    </row>
    <row r="644" customFormat="false" ht="15" hidden="false" customHeight="false" outlineLevel="0" collapsed="false">
      <c r="A644" s="2" t="s">
        <v>221</v>
      </c>
      <c r="B644" s="2" t="s">
        <v>654</v>
      </c>
      <c r="C644" s="2" t="s">
        <v>635</v>
      </c>
      <c r="D644" s="2" t="s">
        <v>655</v>
      </c>
      <c r="E644" s="2" t="s">
        <v>169</v>
      </c>
    </row>
    <row r="645" customFormat="false" ht="15" hidden="false" customHeight="false" outlineLevel="0" collapsed="false">
      <c r="A645" s="2" t="s">
        <v>221</v>
      </c>
      <c r="B645" s="2" t="s">
        <v>656</v>
      </c>
      <c r="C645" s="2" t="s">
        <v>642</v>
      </c>
      <c r="D645" s="2" t="s">
        <v>487</v>
      </c>
      <c r="E645" s="2" t="s">
        <v>166</v>
      </c>
    </row>
    <row r="646" customFormat="false" ht="15" hidden="false" customHeight="false" outlineLevel="0" collapsed="false">
      <c r="A646" s="2" t="s">
        <v>221</v>
      </c>
      <c r="B646" s="2" t="s">
        <v>320</v>
      </c>
      <c r="C646" s="2" t="s">
        <v>642</v>
      </c>
      <c r="D646" s="2" t="s">
        <v>657</v>
      </c>
      <c r="E646" s="2" t="s">
        <v>169</v>
      </c>
    </row>
    <row r="647" customFormat="false" ht="15" hidden="false" customHeight="false" outlineLevel="0" collapsed="false">
      <c r="A647" s="2" t="s">
        <v>221</v>
      </c>
      <c r="B647" s="2" t="s">
        <v>658</v>
      </c>
      <c r="C647" s="2" t="s">
        <v>642</v>
      </c>
      <c r="D647" s="2" t="s">
        <v>487</v>
      </c>
      <c r="E647" s="2" t="s">
        <v>166</v>
      </c>
    </row>
    <row r="648" customFormat="false" ht="15" hidden="false" customHeight="false" outlineLevel="0" collapsed="false">
      <c r="A648" s="2" t="s">
        <v>221</v>
      </c>
      <c r="B648" s="2" t="s">
        <v>324</v>
      </c>
      <c r="C648" s="2" t="s">
        <v>642</v>
      </c>
      <c r="D648" s="2" t="s">
        <v>610</v>
      </c>
      <c r="E648" s="2" t="s">
        <v>166</v>
      </c>
    </row>
    <row r="649" customFormat="false" ht="15" hidden="false" customHeight="false" outlineLevel="0" collapsed="false">
      <c r="A649" s="2" t="s">
        <v>221</v>
      </c>
      <c r="B649" s="2" t="s">
        <v>660</v>
      </c>
      <c r="C649" s="2" t="s">
        <v>640</v>
      </c>
      <c r="D649" s="2" t="s">
        <v>355</v>
      </c>
      <c r="E649" s="2" t="s">
        <v>166</v>
      </c>
    </row>
    <row r="650" customFormat="false" ht="15" hidden="false" customHeight="false" outlineLevel="0" collapsed="false">
      <c r="A650" s="2" t="s">
        <v>221</v>
      </c>
      <c r="B650" s="2" t="s">
        <v>661</v>
      </c>
      <c r="C650" s="2" t="s">
        <v>641</v>
      </c>
      <c r="D650" s="2" t="s">
        <v>355</v>
      </c>
      <c r="E650" s="2" t="s">
        <v>166</v>
      </c>
    </row>
    <row r="651" customFormat="false" ht="15" hidden="false" customHeight="false" outlineLevel="0" collapsed="false">
      <c r="A651" s="2" t="s">
        <v>221</v>
      </c>
      <c r="B651" s="2" t="s">
        <v>662</v>
      </c>
      <c r="C651" s="2" t="s">
        <v>630</v>
      </c>
      <c r="D651" s="2" t="s">
        <v>585</v>
      </c>
      <c r="E651" s="2" t="s">
        <v>167</v>
      </c>
    </row>
    <row r="652" customFormat="false" ht="15" hidden="false" customHeight="false" outlineLevel="0" collapsed="false">
      <c r="A652" s="2" t="s">
        <v>221</v>
      </c>
      <c r="B652" s="2" t="s">
        <v>667</v>
      </c>
      <c r="C652" s="2" t="s">
        <v>638</v>
      </c>
      <c r="D652" s="2" t="s">
        <v>668</v>
      </c>
      <c r="E652" s="2" t="s">
        <v>166</v>
      </c>
    </row>
    <row r="653" customFormat="false" ht="15" hidden="false" customHeight="false" outlineLevel="0" collapsed="false">
      <c r="A653" s="2" t="s">
        <v>221</v>
      </c>
      <c r="B653" s="2" t="s">
        <v>669</v>
      </c>
      <c r="C653" s="2" t="s">
        <v>636</v>
      </c>
      <c r="D653" s="2" t="s">
        <v>670</v>
      </c>
      <c r="E653" s="2" t="s">
        <v>166</v>
      </c>
    </row>
    <row r="654" customFormat="false" ht="15" hidden="false" customHeight="false" outlineLevel="0" collapsed="false">
      <c r="A654" s="2" t="s">
        <v>221</v>
      </c>
      <c r="B654" s="2" t="s">
        <v>671</v>
      </c>
      <c r="C654" s="2" t="s">
        <v>632</v>
      </c>
      <c r="D654" s="2" t="s">
        <v>672</v>
      </c>
      <c r="E654" s="2" t="s">
        <v>166</v>
      </c>
    </row>
    <row r="655" customFormat="false" ht="15" hidden="false" customHeight="false" outlineLevel="0" collapsed="false">
      <c r="A655" s="2" t="s">
        <v>221</v>
      </c>
      <c r="B655" s="2" t="s">
        <v>673</v>
      </c>
      <c r="C655" s="2" t="s">
        <v>632</v>
      </c>
      <c r="D655" s="2" t="s">
        <v>523</v>
      </c>
      <c r="E655" s="2" t="s">
        <v>168</v>
      </c>
    </row>
    <row r="656" customFormat="false" ht="15" hidden="false" customHeight="false" outlineLevel="0" collapsed="false">
      <c r="A656" s="2" t="s">
        <v>221</v>
      </c>
      <c r="B656" s="2" t="s">
        <v>674</v>
      </c>
      <c r="C656" s="2" t="s">
        <v>632</v>
      </c>
      <c r="D656" s="2" t="s">
        <v>523</v>
      </c>
      <c r="E656" s="2" t="s">
        <v>168</v>
      </c>
    </row>
    <row r="657" customFormat="false" ht="15" hidden="false" customHeight="false" outlineLevel="0" collapsed="false">
      <c r="A657" s="2" t="s">
        <v>221</v>
      </c>
      <c r="B657" s="2" t="s">
        <v>692</v>
      </c>
      <c r="C657" s="2" t="s">
        <v>632</v>
      </c>
      <c r="D657" s="2" t="s">
        <v>523</v>
      </c>
      <c r="E657" s="2" t="s">
        <v>168</v>
      </c>
    </row>
    <row r="658" customFormat="false" ht="15" hidden="false" customHeight="false" outlineLevel="0" collapsed="false">
      <c r="A658" s="2" t="s">
        <v>221</v>
      </c>
      <c r="B658" s="2" t="s">
        <v>675</v>
      </c>
      <c r="C658" s="2" t="s">
        <v>632</v>
      </c>
      <c r="D658" s="2" t="s">
        <v>523</v>
      </c>
      <c r="E658" s="2" t="s">
        <v>168</v>
      </c>
    </row>
    <row r="659" customFormat="false" ht="15" hidden="false" customHeight="false" outlineLevel="0" collapsed="false">
      <c r="A659" s="2" t="s">
        <v>221</v>
      </c>
      <c r="B659" s="2" t="s">
        <v>412</v>
      </c>
      <c r="C659" s="2" t="s">
        <v>632</v>
      </c>
      <c r="D659" s="2" t="s">
        <v>523</v>
      </c>
      <c r="E659" s="2" t="s">
        <v>168</v>
      </c>
    </row>
    <row r="660" customFormat="false" ht="15" hidden="false" customHeight="false" outlineLevel="0" collapsed="false">
      <c r="A660" s="2" t="s">
        <v>221</v>
      </c>
      <c r="B660" s="2" t="s">
        <v>694</v>
      </c>
      <c r="C660" s="2" t="s">
        <v>633</v>
      </c>
      <c r="D660" s="2" t="s">
        <v>677</v>
      </c>
      <c r="E660" s="2" t="s">
        <v>166</v>
      </c>
    </row>
    <row r="661" customFormat="false" ht="15" hidden="false" customHeight="false" outlineLevel="0" collapsed="false">
      <c r="A661" s="2" t="s">
        <v>221</v>
      </c>
      <c r="B661" s="2" t="s">
        <v>678</v>
      </c>
      <c r="C661" s="2" t="s">
        <v>634</v>
      </c>
      <c r="D661" s="2" t="s">
        <v>695</v>
      </c>
      <c r="E661" s="2" t="s">
        <v>169</v>
      </c>
    </row>
    <row r="662" customFormat="false" ht="15" hidden="false" customHeight="false" outlineLevel="0" collapsed="false">
      <c r="A662" s="2" t="s">
        <v>221</v>
      </c>
      <c r="B662" s="2" t="s">
        <v>680</v>
      </c>
      <c r="C662" s="2" t="s">
        <v>629</v>
      </c>
      <c r="D662" s="2" t="s">
        <v>681</v>
      </c>
      <c r="E662" s="2" t="s">
        <v>169</v>
      </c>
    </row>
    <row r="663" customFormat="false" ht="15" hidden="false" customHeight="false" outlineLevel="0" collapsed="false">
      <c r="A663" s="2" t="s">
        <v>221</v>
      </c>
      <c r="B663" s="2" t="s">
        <v>370</v>
      </c>
      <c r="C663" s="2" t="s">
        <v>627</v>
      </c>
      <c r="D663" s="2" t="s">
        <v>682</v>
      </c>
      <c r="E663" s="2" t="s">
        <v>166</v>
      </c>
    </row>
    <row r="664" customFormat="false" ht="15" hidden="false" customHeight="false" outlineLevel="0" collapsed="false">
      <c r="A664" s="2" t="s">
        <v>221</v>
      </c>
      <c r="B664" s="2" t="s">
        <v>684</v>
      </c>
      <c r="C664" s="2" t="s">
        <v>627</v>
      </c>
      <c r="D664" s="2" t="s">
        <v>402</v>
      </c>
      <c r="E664" s="2" t="s">
        <v>168</v>
      </c>
    </row>
    <row r="665" customFormat="false" ht="15" hidden="false" customHeight="false" outlineLevel="0" collapsed="false">
      <c r="A665" s="2" t="s">
        <v>221</v>
      </c>
      <c r="B665" s="2" t="s">
        <v>410</v>
      </c>
      <c r="C665" s="2" t="s">
        <v>627</v>
      </c>
      <c r="D665" s="2" t="s">
        <v>402</v>
      </c>
      <c r="E665" s="2" t="s">
        <v>168</v>
      </c>
    </row>
    <row r="666" customFormat="false" ht="15" hidden="false" customHeight="false" outlineLevel="0" collapsed="false">
      <c r="A666" s="2" t="s">
        <v>221</v>
      </c>
      <c r="B666" s="2" t="s">
        <v>685</v>
      </c>
      <c r="C666" s="2" t="s">
        <v>627</v>
      </c>
      <c r="D666" s="2" t="s">
        <v>402</v>
      </c>
      <c r="E666" s="2" t="s">
        <v>170</v>
      </c>
    </row>
    <row r="667" customFormat="false" ht="15" hidden="false" customHeight="false" outlineLevel="0" collapsed="false">
      <c r="A667" s="2" t="s">
        <v>221</v>
      </c>
      <c r="B667" s="2" t="s">
        <v>686</v>
      </c>
      <c r="C667" s="2" t="s">
        <v>628</v>
      </c>
      <c r="D667" s="2" t="s">
        <v>687</v>
      </c>
      <c r="E667" s="2" t="s">
        <v>166</v>
      </c>
    </row>
    <row r="668" customFormat="false" ht="15" hidden="false" customHeight="false" outlineLevel="0" collapsed="false">
      <c r="A668" s="2" t="s">
        <v>221</v>
      </c>
      <c r="B668" s="2" t="s">
        <v>705</v>
      </c>
      <c r="C668" s="2" t="s">
        <v>639</v>
      </c>
      <c r="D668" s="2" t="s">
        <v>598</v>
      </c>
      <c r="E668" s="2" t="s">
        <v>170</v>
      </c>
    </row>
    <row r="669" customFormat="false" ht="15" hidden="false" customHeight="false" outlineLevel="0" collapsed="false">
      <c r="A669" s="2" t="s">
        <v>221</v>
      </c>
      <c r="B669" s="2" t="s">
        <v>705</v>
      </c>
      <c r="C669" s="2" t="s">
        <v>639</v>
      </c>
      <c r="D669" s="2" t="s">
        <v>598</v>
      </c>
      <c r="E669" s="2" t="s">
        <v>170</v>
      </c>
    </row>
    <row r="670" customFormat="false" ht="15" hidden="false" customHeight="false" outlineLevel="0" collapsed="false">
      <c r="A670" s="2" t="s">
        <v>221</v>
      </c>
      <c r="B670" s="2" t="s">
        <v>711</v>
      </c>
      <c r="C670" s="2" t="s">
        <v>644</v>
      </c>
      <c r="D670" s="2" t="s">
        <v>604</v>
      </c>
      <c r="E670" s="2" t="s">
        <v>170</v>
      </c>
    </row>
    <row r="671" customFormat="false" ht="15" hidden="false" customHeight="false" outlineLevel="0" collapsed="false">
      <c r="A671" s="2" t="s">
        <v>221</v>
      </c>
      <c r="B671" s="2" t="s">
        <v>688</v>
      </c>
      <c r="C671" s="2" t="s">
        <v>645</v>
      </c>
      <c r="D671" s="2" t="s">
        <v>373</v>
      </c>
      <c r="E671" s="2" t="s">
        <v>170</v>
      </c>
    </row>
    <row r="672" customFormat="false" ht="15" hidden="false" customHeight="false" outlineLevel="0" collapsed="false">
      <c r="A672" s="2" t="s">
        <v>223</v>
      </c>
      <c r="B672" s="2" t="s">
        <v>649</v>
      </c>
      <c r="C672" s="2" t="s">
        <v>635</v>
      </c>
      <c r="D672" s="2" t="s">
        <v>487</v>
      </c>
      <c r="E672" s="2" t="s">
        <v>166</v>
      </c>
    </row>
    <row r="673" customFormat="false" ht="15" hidden="false" customHeight="false" outlineLevel="0" collapsed="false">
      <c r="A673" s="2" t="s">
        <v>223</v>
      </c>
      <c r="B673" s="2" t="s">
        <v>650</v>
      </c>
      <c r="C673" s="2" t="s">
        <v>635</v>
      </c>
      <c r="D673" s="2" t="s">
        <v>651</v>
      </c>
      <c r="E673" s="2" t="s">
        <v>169</v>
      </c>
    </row>
    <row r="674" customFormat="false" ht="15" hidden="false" customHeight="false" outlineLevel="0" collapsed="false">
      <c r="A674" s="2" t="s">
        <v>223</v>
      </c>
      <c r="B674" s="2" t="s">
        <v>652</v>
      </c>
      <c r="C674" s="2" t="s">
        <v>635</v>
      </c>
      <c r="D674" s="2" t="s">
        <v>653</v>
      </c>
      <c r="E674" s="2" t="s">
        <v>169</v>
      </c>
    </row>
    <row r="675" customFormat="false" ht="15" hidden="false" customHeight="false" outlineLevel="0" collapsed="false">
      <c r="A675" s="2" t="s">
        <v>223</v>
      </c>
      <c r="B675" s="2" t="s">
        <v>654</v>
      </c>
      <c r="C675" s="2" t="s">
        <v>635</v>
      </c>
      <c r="D675" s="2" t="s">
        <v>655</v>
      </c>
      <c r="E675" s="2" t="s">
        <v>169</v>
      </c>
    </row>
    <row r="676" customFormat="false" ht="15" hidden="false" customHeight="false" outlineLevel="0" collapsed="false">
      <c r="A676" s="2" t="s">
        <v>223</v>
      </c>
      <c r="B676" s="2" t="s">
        <v>656</v>
      </c>
      <c r="C676" s="2" t="s">
        <v>642</v>
      </c>
      <c r="D676" s="2" t="s">
        <v>487</v>
      </c>
      <c r="E676" s="2" t="s">
        <v>166</v>
      </c>
    </row>
    <row r="677" customFormat="false" ht="15" hidden="false" customHeight="false" outlineLevel="0" collapsed="false">
      <c r="A677" s="2" t="s">
        <v>223</v>
      </c>
      <c r="B677" s="2" t="s">
        <v>320</v>
      </c>
      <c r="C677" s="2" t="s">
        <v>642</v>
      </c>
      <c r="D677" s="2" t="s">
        <v>657</v>
      </c>
      <c r="E677" s="2" t="s">
        <v>169</v>
      </c>
    </row>
    <row r="678" customFormat="false" ht="15" hidden="false" customHeight="false" outlineLevel="0" collapsed="false">
      <c r="A678" s="2" t="s">
        <v>223</v>
      </c>
      <c r="B678" s="2" t="s">
        <v>658</v>
      </c>
      <c r="C678" s="2" t="s">
        <v>642</v>
      </c>
      <c r="D678" s="2" t="s">
        <v>487</v>
      </c>
      <c r="E678" s="2" t="s">
        <v>166</v>
      </c>
    </row>
    <row r="679" customFormat="false" ht="15" hidden="false" customHeight="false" outlineLevel="0" collapsed="false">
      <c r="A679" s="2" t="s">
        <v>223</v>
      </c>
      <c r="B679" s="2" t="s">
        <v>324</v>
      </c>
      <c r="C679" s="2" t="s">
        <v>642</v>
      </c>
      <c r="D679" s="2" t="s">
        <v>610</v>
      </c>
      <c r="E679" s="2" t="s">
        <v>166</v>
      </c>
    </row>
    <row r="680" customFormat="false" ht="15" hidden="false" customHeight="false" outlineLevel="0" collapsed="false">
      <c r="A680" s="2" t="s">
        <v>223</v>
      </c>
      <c r="B680" s="2" t="s">
        <v>704</v>
      </c>
      <c r="C680" s="2" t="s">
        <v>643</v>
      </c>
      <c r="D680" s="2" t="s">
        <v>494</v>
      </c>
      <c r="E680" s="2" t="s">
        <v>167</v>
      </c>
    </row>
    <row r="681" customFormat="false" ht="15" hidden="false" customHeight="false" outlineLevel="0" collapsed="false">
      <c r="A681" s="2" t="s">
        <v>223</v>
      </c>
      <c r="B681" s="2" t="s">
        <v>660</v>
      </c>
      <c r="C681" s="2" t="s">
        <v>640</v>
      </c>
      <c r="D681" s="2" t="s">
        <v>355</v>
      </c>
      <c r="E681" s="2" t="s">
        <v>166</v>
      </c>
    </row>
    <row r="682" customFormat="false" ht="15" hidden="false" customHeight="false" outlineLevel="0" collapsed="false">
      <c r="A682" s="2" t="s">
        <v>223</v>
      </c>
      <c r="B682" s="2" t="s">
        <v>661</v>
      </c>
      <c r="C682" s="2" t="s">
        <v>641</v>
      </c>
      <c r="D682" s="2" t="s">
        <v>355</v>
      </c>
      <c r="E682" s="2" t="s">
        <v>166</v>
      </c>
    </row>
    <row r="683" customFormat="false" ht="15" hidden="false" customHeight="false" outlineLevel="0" collapsed="false">
      <c r="A683" s="2" t="s">
        <v>223</v>
      </c>
      <c r="B683" s="2" t="s">
        <v>662</v>
      </c>
      <c r="C683" s="2" t="s">
        <v>630</v>
      </c>
      <c r="D683" s="2" t="s">
        <v>585</v>
      </c>
      <c r="E683" s="2" t="s">
        <v>167</v>
      </c>
    </row>
    <row r="684" customFormat="false" ht="15" hidden="false" customHeight="false" outlineLevel="0" collapsed="false">
      <c r="A684" s="2" t="s">
        <v>223</v>
      </c>
      <c r="B684" s="2" t="s">
        <v>667</v>
      </c>
      <c r="C684" s="2" t="s">
        <v>638</v>
      </c>
      <c r="D684" s="2" t="s">
        <v>668</v>
      </c>
      <c r="E684" s="2" t="s">
        <v>166</v>
      </c>
    </row>
    <row r="685" customFormat="false" ht="15" hidden="false" customHeight="false" outlineLevel="0" collapsed="false">
      <c r="A685" s="2" t="s">
        <v>223</v>
      </c>
      <c r="B685" s="2" t="s">
        <v>669</v>
      </c>
      <c r="C685" s="2" t="s">
        <v>636</v>
      </c>
      <c r="D685" s="2" t="s">
        <v>670</v>
      </c>
      <c r="E685" s="2" t="s">
        <v>166</v>
      </c>
    </row>
    <row r="686" customFormat="false" ht="15" hidden="false" customHeight="false" outlineLevel="0" collapsed="false">
      <c r="A686" s="2" t="s">
        <v>223</v>
      </c>
      <c r="B686" s="2" t="s">
        <v>671</v>
      </c>
      <c r="C686" s="2" t="s">
        <v>632</v>
      </c>
      <c r="D686" s="2" t="s">
        <v>672</v>
      </c>
      <c r="E686" s="2" t="s">
        <v>166</v>
      </c>
    </row>
    <row r="687" customFormat="false" ht="15" hidden="false" customHeight="false" outlineLevel="0" collapsed="false">
      <c r="A687" s="2" t="s">
        <v>223</v>
      </c>
      <c r="B687" s="2" t="s">
        <v>673</v>
      </c>
      <c r="C687" s="2" t="s">
        <v>632</v>
      </c>
      <c r="D687" s="2" t="s">
        <v>523</v>
      </c>
      <c r="E687" s="2" t="s">
        <v>168</v>
      </c>
    </row>
    <row r="688" customFormat="false" ht="15" hidden="false" customHeight="false" outlineLevel="0" collapsed="false">
      <c r="A688" s="2" t="s">
        <v>223</v>
      </c>
      <c r="B688" s="2" t="s">
        <v>674</v>
      </c>
      <c r="C688" s="2" t="s">
        <v>632</v>
      </c>
      <c r="D688" s="2" t="s">
        <v>523</v>
      </c>
      <c r="E688" s="2" t="s">
        <v>168</v>
      </c>
    </row>
    <row r="689" customFormat="false" ht="15" hidden="false" customHeight="false" outlineLevel="0" collapsed="false">
      <c r="A689" s="2" t="s">
        <v>223</v>
      </c>
      <c r="B689" s="2" t="s">
        <v>692</v>
      </c>
      <c r="C689" s="2" t="s">
        <v>632</v>
      </c>
      <c r="D689" s="2" t="s">
        <v>523</v>
      </c>
      <c r="E689" s="2" t="s">
        <v>168</v>
      </c>
    </row>
    <row r="690" customFormat="false" ht="15" hidden="false" customHeight="false" outlineLevel="0" collapsed="false">
      <c r="A690" s="2" t="s">
        <v>223</v>
      </c>
      <c r="B690" s="2" t="s">
        <v>675</v>
      </c>
      <c r="C690" s="2" t="s">
        <v>632</v>
      </c>
      <c r="D690" s="2" t="s">
        <v>523</v>
      </c>
      <c r="E690" s="2" t="s">
        <v>168</v>
      </c>
    </row>
    <row r="691" customFormat="false" ht="15" hidden="false" customHeight="false" outlineLevel="0" collapsed="false">
      <c r="A691" s="2" t="s">
        <v>223</v>
      </c>
      <c r="B691" s="2" t="s">
        <v>702</v>
      </c>
      <c r="C691" s="2" t="s">
        <v>632</v>
      </c>
      <c r="D691" s="2" t="s">
        <v>523</v>
      </c>
      <c r="E691" s="2" t="s">
        <v>168</v>
      </c>
    </row>
    <row r="692" customFormat="false" ht="15" hidden="false" customHeight="false" outlineLevel="0" collapsed="false">
      <c r="A692" s="2" t="s">
        <v>223</v>
      </c>
      <c r="B692" s="2" t="s">
        <v>412</v>
      </c>
      <c r="C692" s="2" t="s">
        <v>632</v>
      </c>
      <c r="D692" s="2" t="s">
        <v>523</v>
      </c>
      <c r="E692" s="2" t="s">
        <v>168</v>
      </c>
    </row>
    <row r="693" customFormat="false" ht="15" hidden="false" customHeight="false" outlineLevel="0" collapsed="false">
      <c r="A693" s="2" t="s">
        <v>223</v>
      </c>
      <c r="B693" s="2" t="s">
        <v>676</v>
      </c>
      <c r="C693" s="2" t="s">
        <v>633</v>
      </c>
      <c r="D693" s="2" t="s">
        <v>677</v>
      </c>
      <c r="E693" s="2" t="s">
        <v>166</v>
      </c>
    </row>
    <row r="694" customFormat="false" ht="15" hidden="false" customHeight="false" outlineLevel="0" collapsed="false">
      <c r="A694" s="2" t="s">
        <v>223</v>
      </c>
      <c r="B694" s="2" t="s">
        <v>678</v>
      </c>
      <c r="C694" s="2" t="s">
        <v>634</v>
      </c>
      <c r="D694" s="2" t="s">
        <v>679</v>
      </c>
      <c r="E694" s="2" t="s">
        <v>166</v>
      </c>
    </row>
    <row r="695" customFormat="false" ht="15" hidden="false" customHeight="false" outlineLevel="0" collapsed="false">
      <c r="A695" s="2" t="s">
        <v>223</v>
      </c>
      <c r="B695" s="2" t="s">
        <v>680</v>
      </c>
      <c r="C695" s="2" t="s">
        <v>629</v>
      </c>
      <c r="D695" s="2" t="s">
        <v>703</v>
      </c>
      <c r="E695" s="2" t="s">
        <v>166</v>
      </c>
    </row>
    <row r="696" customFormat="false" ht="15" hidden="false" customHeight="false" outlineLevel="0" collapsed="false">
      <c r="A696" s="2" t="s">
        <v>223</v>
      </c>
      <c r="B696" s="2" t="s">
        <v>370</v>
      </c>
      <c r="C696" s="2" t="s">
        <v>627</v>
      </c>
      <c r="D696" s="2" t="s">
        <v>682</v>
      </c>
      <c r="E696" s="2" t="s">
        <v>166</v>
      </c>
    </row>
    <row r="697" customFormat="false" ht="15" hidden="false" customHeight="false" outlineLevel="0" collapsed="false">
      <c r="A697" s="2" t="s">
        <v>223</v>
      </c>
      <c r="B697" s="2" t="s">
        <v>684</v>
      </c>
      <c r="C697" s="2" t="s">
        <v>627</v>
      </c>
      <c r="D697" s="2" t="s">
        <v>402</v>
      </c>
      <c r="E697" s="2" t="s">
        <v>168</v>
      </c>
    </row>
    <row r="698" customFormat="false" ht="15" hidden="false" customHeight="false" outlineLevel="0" collapsed="false">
      <c r="A698" s="2" t="s">
        <v>223</v>
      </c>
      <c r="B698" s="2" t="s">
        <v>410</v>
      </c>
      <c r="C698" s="2" t="s">
        <v>627</v>
      </c>
      <c r="D698" s="2" t="s">
        <v>402</v>
      </c>
      <c r="E698" s="2" t="s">
        <v>168</v>
      </c>
    </row>
    <row r="699" customFormat="false" ht="15" hidden="false" customHeight="false" outlineLevel="0" collapsed="false">
      <c r="A699" s="2" t="s">
        <v>223</v>
      </c>
      <c r="B699" s="2" t="s">
        <v>685</v>
      </c>
      <c r="C699" s="2" t="s">
        <v>627</v>
      </c>
      <c r="D699" s="2" t="s">
        <v>402</v>
      </c>
      <c r="E699" s="2" t="s">
        <v>170</v>
      </c>
    </row>
    <row r="700" customFormat="false" ht="15" hidden="false" customHeight="false" outlineLevel="0" collapsed="false">
      <c r="A700" s="2" t="s">
        <v>223</v>
      </c>
      <c r="B700" s="2" t="s">
        <v>686</v>
      </c>
      <c r="C700" s="2" t="s">
        <v>628</v>
      </c>
      <c r="D700" s="2" t="s">
        <v>687</v>
      </c>
      <c r="E700" s="2" t="s">
        <v>166</v>
      </c>
    </row>
    <row r="701" customFormat="false" ht="15" hidden="false" customHeight="false" outlineLevel="0" collapsed="false">
      <c r="A701" s="2" t="s">
        <v>223</v>
      </c>
      <c r="B701" s="2" t="s">
        <v>705</v>
      </c>
      <c r="C701" s="2" t="s">
        <v>639</v>
      </c>
      <c r="D701" s="2" t="s">
        <v>598</v>
      </c>
      <c r="E701" s="2" t="s">
        <v>170</v>
      </c>
    </row>
    <row r="702" customFormat="false" ht="15" hidden="false" customHeight="false" outlineLevel="0" collapsed="false">
      <c r="A702" s="2" t="s">
        <v>223</v>
      </c>
      <c r="B702" s="2" t="s">
        <v>705</v>
      </c>
      <c r="C702" s="2" t="s">
        <v>639</v>
      </c>
      <c r="D702" s="2" t="s">
        <v>598</v>
      </c>
      <c r="E702" s="2" t="s">
        <v>170</v>
      </c>
    </row>
    <row r="703" customFormat="false" ht="15" hidden="false" customHeight="false" outlineLevel="0" collapsed="false">
      <c r="A703" s="2" t="s">
        <v>223</v>
      </c>
      <c r="B703" s="2" t="s">
        <v>711</v>
      </c>
      <c r="C703" s="2" t="s">
        <v>644</v>
      </c>
      <c r="D703" s="2" t="s">
        <v>604</v>
      </c>
      <c r="E703" s="2" t="s">
        <v>170</v>
      </c>
    </row>
    <row r="704" customFormat="false" ht="15" hidden="false" customHeight="false" outlineLevel="0" collapsed="false">
      <c r="A704" s="2" t="s">
        <v>223</v>
      </c>
      <c r="B704" s="2" t="s">
        <v>688</v>
      </c>
      <c r="C704" s="2" t="s">
        <v>645</v>
      </c>
      <c r="D704" s="2" t="s">
        <v>373</v>
      </c>
      <c r="E704" s="2" t="s">
        <v>170</v>
      </c>
    </row>
    <row r="705" customFormat="false" ht="15" hidden="false" customHeight="false" outlineLevel="0" collapsed="false">
      <c r="A705" s="2" t="s">
        <v>225</v>
      </c>
      <c r="B705" s="2" t="s">
        <v>649</v>
      </c>
      <c r="C705" s="2" t="s">
        <v>635</v>
      </c>
      <c r="D705" s="2" t="s">
        <v>487</v>
      </c>
      <c r="E705" s="2" t="s">
        <v>166</v>
      </c>
    </row>
    <row r="706" customFormat="false" ht="15" hidden="false" customHeight="false" outlineLevel="0" collapsed="false">
      <c r="A706" s="2" t="s">
        <v>225</v>
      </c>
      <c r="B706" s="2" t="s">
        <v>650</v>
      </c>
      <c r="C706" s="2" t="s">
        <v>635</v>
      </c>
      <c r="D706" s="2" t="s">
        <v>651</v>
      </c>
      <c r="E706" s="2" t="s">
        <v>169</v>
      </c>
    </row>
    <row r="707" customFormat="false" ht="15" hidden="false" customHeight="false" outlineLevel="0" collapsed="false">
      <c r="A707" s="2" t="s">
        <v>225</v>
      </c>
      <c r="B707" s="2" t="s">
        <v>652</v>
      </c>
      <c r="C707" s="2" t="s">
        <v>635</v>
      </c>
      <c r="D707" s="2" t="s">
        <v>653</v>
      </c>
      <c r="E707" s="2" t="s">
        <v>169</v>
      </c>
    </row>
    <row r="708" customFormat="false" ht="15" hidden="false" customHeight="false" outlineLevel="0" collapsed="false">
      <c r="A708" s="2" t="s">
        <v>225</v>
      </c>
      <c r="B708" s="2" t="s">
        <v>654</v>
      </c>
      <c r="C708" s="2" t="s">
        <v>635</v>
      </c>
      <c r="D708" s="2" t="s">
        <v>655</v>
      </c>
      <c r="E708" s="2" t="s">
        <v>169</v>
      </c>
    </row>
    <row r="709" customFormat="false" ht="15" hidden="false" customHeight="false" outlineLevel="0" collapsed="false">
      <c r="A709" s="2" t="s">
        <v>225</v>
      </c>
      <c r="B709" s="2" t="s">
        <v>706</v>
      </c>
      <c r="C709" s="2" t="s">
        <v>635</v>
      </c>
      <c r="D709" s="2" t="s">
        <v>548</v>
      </c>
      <c r="E709" s="2" t="s">
        <v>166</v>
      </c>
    </row>
    <row r="710" customFormat="false" ht="15" hidden="false" customHeight="false" outlineLevel="0" collapsed="false">
      <c r="A710" s="2" t="s">
        <v>225</v>
      </c>
      <c r="B710" s="2" t="s">
        <v>656</v>
      </c>
      <c r="C710" s="2" t="s">
        <v>642</v>
      </c>
      <c r="D710" s="2" t="s">
        <v>487</v>
      </c>
      <c r="E710" s="2" t="s">
        <v>166</v>
      </c>
    </row>
    <row r="711" customFormat="false" ht="15" hidden="false" customHeight="false" outlineLevel="0" collapsed="false">
      <c r="A711" s="2" t="s">
        <v>225</v>
      </c>
      <c r="B711" s="2" t="s">
        <v>320</v>
      </c>
      <c r="C711" s="2" t="s">
        <v>642</v>
      </c>
      <c r="D711" s="2" t="s">
        <v>657</v>
      </c>
      <c r="E711" s="2" t="s">
        <v>169</v>
      </c>
    </row>
    <row r="712" customFormat="false" ht="15" hidden="false" customHeight="false" outlineLevel="0" collapsed="false">
      <c r="A712" s="2" t="s">
        <v>225</v>
      </c>
      <c r="B712" s="2" t="s">
        <v>658</v>
      </c>
      <c r="C712" s="2" t="s">
        <v>642</v>
      </c>
      <c r="D712" s="2" t="s">
        <v>487</v>
      </c>
      <c r="E712" s="2" t="s">
        <v>166</v>
      </c>
    </row>
    <row r="713" customFormat="false" ht="15" hidden="false" customHeight="false" outlineLevel="0" collapsed="false">
      <c r="A713" s="2" t="s">
        <v>225</v>
      </c>
      <c r="B713" s="2" t="s">
        <v>324</v>
      </c>
      <c r="C713" s="2" t="s">
        <v>642</v>
      </c>
      <c r="D713" s="2" t="s">
        <v>610</v>
      </c>
      <c r="E713" s="2" t="s">
        <v>166</v>
      </c>
    </row>
    <row r="714" customFormat="false" ht="15" hidden="false" customHeight="false" outlineLevel="0" collapsed="false">
      <c r="A714" s="2" t="s">
        <v>225</v>
      </c>
      <c r="B714" s="2" t="s">
        <v>704</v>
      </c>
      <c r="C714" s="2" t="s">
        <v>643</v>
      </c>
      <c r="D714" s="2" t="s">
        <v>494</v>
      </c>
      <c r="E714" s="2" t="s">
        <v>167</v>
      </c>
    </row>
    <row r="715" customFormat="false" ht="15" hidden="false" customHeight="false" outlineLevel="0" collapsed="false">
      <c r="A715" s="2" t="s">
        <v>225</v>
      </c>
      <c r="B715" s="2" t="s">
        <v>660</v>
      </c>
      <c r="C715" s="2" t="s">
        <v>640</v>
      </c>
      <c r="D715" s="2" t="s">
        <v>355</v>
      </c>
      <c r="E715" s="2" t="s">
        <v>166</v>
      </c>
    </row>
    <row r="716" customFormat="false" ht="15" hidden="false" customHeight="false" outlineLevel="0" collapsed="false">
      <c r="A716" s="2" t="s">
        <v>225</v>
      </c>
      <c r="B716" s="2" t="s">
        <v>661</v>
      </c>
      <c r="C716" s="2" t="s">
        <v>641</v>
      </c>
      <c r="D716" s="2" t="s">
        <v>355</v>
      </c>
      <c r="E716" s="2" t="s">
        <v>166</v>
      </c>
    </row>
    <row r="717" customFormat="false" ht="15" hidden="false" customHeight="false" outlineLevel="0" collapsed="false">
      <c r="A717" s="2" t="s">
        <v>225</v>
      </c>
      <c r="B717" s="2" t="s">
        <v>662</v>
      </c>
      <c r="C717" s="2" t="s">
        <v>630</v>
      </c>
      <c r="D717" s="2" t="s">
        <v>585</v>
      </c>
      <c r="E717" s="2" t="s">
        <v>167</v>
      </c>
    </row>
    <row r="718" customFormat="false" ht="15" hidden="false" customHeight="false" outlineLevel="0" collapsed="false">
      <c r="A718" s="2" t="s">
        <v>225</v>
      </c>
      <c r="B718" s="2" t="s">
        <v>663</v>
      </c>
      <c r="C718" s="2" t="s">
        <v>631</v>
      </c>
      <c r="D718" s="2" t="s">
        <v>698</v>
      </c>
      <c r="E718" s="2" t="s">
        <v>166</v>
      </c>
    </row>
    <row r="719" customFormat="false" ht="15" hidden="false" customHeight="false" outlineLevel="0" collapsed="false">
      <c r="A719" s="2" t="s">
        <v>225</v>
      </c>
      <c r="B719" s="2" t="s">
        <v>665</v>
      </c>
      <c r="C719" s="2" t="s">
        <v>631</v>
      </c>
      <c r="D719" s="2" t="s">
        <v>699</v>
      </c>
      <c r="E719" s="2" t="s">
        <v>169</v>
      </c>
    </row>
    <row r="720" customFormat="false" ht="15" hidden="false" customHeight="false" outlineLevel="0" collapsed="false">
      <c r="A720" s="2" t="s">
        <v>225</v>
      </c>
      <c r="B720" s="2" t="s">
        <v>667</v>
      </c>
      <c r="C720" s="2" t="s">
        <v>638</v>
      </c>
      <c r="D720" s="2" t="s">
        <v>668</v>
      </c>
      <c r="E720" s="2" t="s">
        <v>166</v>
      </c>
    </row>
    <row r="721" customFormat="false" ht="15" hidden="false" customHeight="false" outlineLevel="0" collapsed="false">
      <c r="A721" s="2" t="s">
        <v>225</v>
      </c>
      <c r="B721" s="2" t="s">
        <v>669</v>
      </c>
      <c r="C721" s="2" t="s">
        <v>636</v>
      </c>
      <c r="D721" s="2" t="s">
        <v>670</v>
      </c>
      <c r="E721" s="2" t="s">
        <v>166</v>
      </c>
    </row>
    <row r="722" customFormat="false" ht="15" hidden="false" customHeight="false" outlineLevel="0" collapsed="false">
      <c r="A722" s="2" t="s">
        <v>225</v>
      </c>
      <c r="B722" s="2" t="s">
        <v>671</v>
      </c>
      <c r="C722" s="2" t="s">
        <v>632</v>
      </c>
      <c r="D722" s="2" t="s">
        <v>672</v>
      </c>
      <c r="E722" s="2" t="s">
        <v>166</v>
      </c>
    </row>
    <row r="723" customFormat="false" ht="15" hidden="false" customHeight="false" outlineLevel="0" collapsed="false">
      <c r="A723" s="2" t="s">
        <v>225</v>
      </c>
      <c r="B723" s="2" t="s">
        <v>673</v>
      </c>
      <c r="C723" s="2" t="s">
        <v>632</v>
      </c>
      <c r="D723" s="2" t="s">
        <v>523</v>
      </c>
      <c r="E723" s="2" t="s">
        <v>168</v>
      </c>
    </row>
    <row r="724" customFormat="false" ht="15" hidden="false" customHeight="false" outlineLevel="0" collapsed="false">
      <c r="A724" s="2" t="s">
        <v>225</v>
      </c>
      <c r="B724" s="2" t="s">
        <v>674</v>
      </c>
      <c r="C724" s="2" t="s">
        <v>632</v>
      </c>
      <c r="D724" s="2" t="s">
        <v>523</v>
      </c>
      <c r="E724" s="2" t="s">
        <v>168</v>
      </c>
    </row>
    <row r="725" customFormat="false" ht="15" hidden="false" customHeight="false" outlineLevel="0" collapsed="false">
      <c r="A725" s="2" t="s">
        <v>225</v>
      </c>
      <c r="B725" s="2" t="s">
        <v>692</v>
      </c>
      <c r="C725" s="2" t="s">
        <v>632</v>
      </c>
      <c r="D725" s="2" t="s">
        <v>523</v>
      </c>
      <c r="E725" s="2" t="s">
        <v>168</v>
      </c>
    </row>
    <row r="726" customFormat="false" ht="15" hidden="false" customHeight="false" outlineLevel="0" collapsed="false">
      <c r="A726" s="2" t="s">
        <v>225</v>
      </c>
      <c r="B726" s="2" t="s">
        <v>675</v>
      </c>
      <c r="C726" s="2" t="s">
        <v>632</v>
      </c>
      <c r="D726" s="2" t="s">
        <v>523</v>
      </c>
      <c r="E726" s="2" t="s">
        <v>168</v>
      </c>
    </row>
    <row r="727" customFormat="false" ht="15" hidden="false" customHeight="false" outlineLevel="0" collapsed="false">
      <c r="A727" s="2" t="s">
        <v>225</v>
      </c>
      <c r="B727" s="2" t="s">
        <v>412</v>
      </c>
      <c r="C727" s="2" t="s">
        <v>632</v>
      </c>
      <c r="D727" s="2" t="s">
        <v>523</v>
      </c>
      <c r="E727" s="2" t="s">
        <v>168</v>
      </c>
    </row>
    <row r="728" customFormat="false" ht="15" hidden="false" customHeight="false" outlineLevel="0" collapsed="false">
      <c r="A728" s="2" t="s">
        <v>225</v>
      </c>
      <c r="B728" s="2" t="s">
        <v>694</v>
      </c>
      <c r="C728" s="2" t="s">
        <v>633</v>
      </c>
      <c r="D728" s="2" t="s">
        <v>677</v>
      </c>
      <c r="E728" s="2" t="s">
        <v>166</v>
      </c>
    </row>
    <row r="729" customFormat="false" ht="15" hidden="false" customHeight="false" outlineLevel="0" collapsed="false">
      <c r="A729" s="2" t="s">
        <v>225</v>
      </c>
      <c r="B729" s="2" t="s">
        <v>678</v>
      </c>
      <c r="C729" s="2" t="s">
        <v>634</v>
      </c>
      <c r="D729" s="2" t="s">
        <v>679</v>
      </c>
      <c r="E729" s="2" t="s">
        <v>166</v>
      </c>
    </row>
    <row r="730" customFormat="false" ht="15" hidden="false" customHeight="false" outlineLevel="0" collapsed="false">
      <c r="A730" s="2" t="s">
        <v>225</v>
      </c>
      <c r="B730" s="2" t="s">
        <v>680</v>
      </c>
      <c r="C730" s="2" t="s">
        <v>629</v>
      </c>
      <c r="D730" s="2" t="s">
        <v>681</v>
      </c>
      <c r="E730" s="2" t="s">
        <v>169</v>
      </c>
    </row>
    <row r="731" customFormat="false" ht="15" hidden="false" customHeight="false" outlineLevel="0" collapsed="false">
      <c r="A731" s="2" t="s">
        <v>225</v>
      </c>
      <c r="B731" s="2" t="s">
        <v>370</v>
      </c>
      <c r="C731" s="2" t="s">
        <v>627</v>
      </c>
      <c r="D731" s="2" t="s">
        <v>682</v>
      </c>
      <c r="E731" s="2" t="s">
        <v>166</v>
      </c>
    </row>
    <row r="732" customFormat="false" ht="15" hidden="false" customHeight="false" outlineLevel="0" collapsed="false">
      <c r="A732" s="2" t="s">
        <v>225</v>
      </c>
      <c r="B732" s="2" t="s">
        <v>684</v>
      </c>
      <c r="C732" s="2" t="s">
        <v>627</v>
      </c>
      <c r="D732" s="2" t="s">
        <v>402</v>
      </c>
      <c r="E732" s="2" t="s">
        <v>168</v>
      </c>
    </row>
    <row r="733" customFormat="false" ht="15" hidden="false" customHeight="false" outlineLevel="0" collapsed="false">
      <c r="A733" s="2" t="s">
        <v>225</v>
      </c>
      <c r="B733" s="2" t="s">
        <v>410</v>
      </c>
      <c r="C733" s="2" t="s">
        <v>627</v>
      </c>
      <c r="D733" s="2" t="s">
        <v>402</v>
      </c>
      <c r="E733" s="2" t="s">
        <v>168</v>
      </c>
    </row>
    <row r="734" customFormat="false" ht="15" hidden="false" customHeight="false" outlineLevel="0" collapsed="false">
      <c r="A734" s="2" t="s">
        <v>225</v>
      </c>
      <c r="B734" s="2" t="s">
        <v>685</v>
      </c>
      <c r="C734" s="2" t="s">
        <v>627</v>
      </c>
      <c r="D734" s="2" t="s">
        <v>402</v>
      </c>
      <c r="E734" s="2" t="s">
        <v>170</v>
      </c>
    </row>
    <row r="735" customFormat="false" ht="15" hidden="false" customHeight="false" outlineLevel="0" collapsed="false">
      <c r="A735" s="2" t="s">
        <v>225</v>
      </c>
      <c r="B735" s="2" t="s">
        <v>686</v>
      </c>
      <c r="C735" s="2" t="s">
        <v>628</v>
      </c>
      <c r="D735" s="2" t="s">
        <v>687</v>
      </c>
      <c r="E735" s="2" t="s">
        <v>166</v>
      </c>
    </row>
    <row r="736" customFormat="false" ht="15" hidden="false" customHeight="false" outlineLevel="0" collapsed="false">
      <c r="A736" s="2" t="s">
        <v>225</v>
      </c>
      <c r="B736" s="2" t="s">
        <v>688</v>
      </c>
      <c r="C736" s="2" t="s">
        <v>645</v>
      </c>
      <c r="D736" s="2" t="s">
        <v>373</v>
      </c>
      <c r="E736" s="2" t="s">
        <v>170</v>
      </c>
    </row>
    <row r="737" customFormat="false" ht="15" hidden="false" customHeight="false" outlineLevel="0" collapsed="false">
      <c r="A737" s="2" t="s">
        <v>226</v>
      </c>
      <c r="B737" s="2" t="s">
        <v>649</v>
      </c>
      <c r="C737" s="2" t="s">
        <v>635</v>
      </c>
      <c r="D737" s="2" t="s">
        <v>487</v>
      </c>
      <c r="E737" s="2" t="s">
        <v>166</v>
      </c>
    </row>
    <row r="738" customFormat="false" ht="15" hidden="false" customHeight="false" outlineLevel="0" collapsed="false">
      <c r="A738" s="2" t="s">
        <v>226</v>
      </c>
      <c r="B738" s="2" t="s">
        <v>650</v>
      </c>
      <c r="C738" s="2" t="s">
        <v>635</v>
      </c>
      <c r="D738" s="2" t="s">
        <v>651</v>
      </c>
      <c r="E738" s="2" t="s">
        <v>169</v>
      </c>
    </row>
    <row r="739" customFormat="false" ht="15" hidden="false" customHeight="false" outlineLevel="0" collapsed="false">
      <c r="A739" s="2" t="s">
        <v>226</v>
      </c>
      <c r="B739" s="2" t="s">
        <v>652</v>
      </c>
      <c r="C739" s="2" t="s">
        <v>635</v>
      </c>
      <c r="D739" s="2" t="s">
        <v>653</v>
      </c>
      <c r="E739" s="2" t="s">
        <v>169</v>
      </c>
    </row>
    <row r="740" customFormat="false" ht="15" hidden="false" customHeight="false" outlineLevel="0" collapsed="false">
      <c r="A740" s="2" t="s">
        <v>226</v>
      </c>
      <c r="B740" s="2" t="s">
        <v>654</v>
      </c>
      <c r="C740" s="2" t="s">
        <v>635</v>
      </c>
      <c r="D740" s="2" t="s">
        <v>655</v>
      </c>
      <c r="E740" s="2" t="s">
        <v>169</v>
      </c>
    </row>
    <row r="741" customFormat="false" ht="15" hidden="false" customHeight="false" outlineLevel="0" collapsed="false">
      <c r="A741" s="2" t="s">
        <v>226</v>
      </c>
      <c r="B741" s="2" t="s">
        <v>656</v>
      </c>
      <c r="C741" s="2" t="s">
        <v>642</v>
      </c>
      <c r="D741" s="2" t="s">
        <v>487</v>
      </c>
      <c r="E741" s="2" t="s">
        <v>166</v>
      </c>
    </row>
    <row r="742" customFormat="false" ht="15" hidden="false" customHeight="false" outlineLevel="0" collapsed="false">
      <c r="A742" s="2" t="s">
        <v>226</v>
      </c>
      <c r="B742" s="2" t="s">
        <v>320</v>
      </c>
      <c r="C742" s="2" t="s">
        <v>642</v>
      </c>
      <c r="D742" s="2" t="s">
        <v>657</v>
      </c>
      <c r="E742" s="2" t="s">
        <v>169</v>
      </c>
    </row>
    <row r="743" customFormat="false" ht="15" hidden="false" customHeight="false" outlineLevel="0" collapsed="false">
      <c r="A743" s="2" t="s">
        <v>226</v>
      </c>
      <c r="B743" s="2" t="s">
        <v>658</v>
      </c>
      <c r="C743" s="2" t="s">
        <v>642</v>
      </c>
      <c r="D743" s="2" t="s">
        <v>487</v>
      </c>
      <c r="E743" s="2" t="s">
        <v>166</v>
      </c>
    </row>
    <row r="744" customFormat="false" ht="15" hidden="false" customHeight="false" outlineLevel="0" collapsed="false">
      <c r="A744" s="2" t="s">
        <v>226</v>
      </c>
      <c r="B744" s="2" t="s">
        <v>324</v>
      </c>
      <c r="C744" s="2" t="s">
        <v>642</v>
      </c>
      <c r="D744" s="2" t="s">
        <v>610</v>
      </c>
      <c r="E744" s="2" t="s">
        <v>166</v>
      </c>
    </row>
    <row r="745" customFormat="false" ht="15" hidden="false" customHeight="false" outlineLevel="0" collapsed="false">
      <c r="A745" s="2" t="s">
        <v>226</v>
      </c>
      <c r="B745" s="2" t="s">
        <v>660</v>
      </c>
      <c r="C745" s="2" t="s">
        <v>640</v>
      </c>
      <c r="D745" s="2" t="s">
        <v>355</v>
      </c>
      <c r="E745" s="2" t="s">
        <v>166</v>
      </c>
    </row>
    <row r="746" customFormat="false" ht="15" hidden="false" customHeight="false" outlineLevel="0" collapsed="false">
      <c r="A746" s="2" t="s">
        <v>226</v>
      </c>
      <c r="B746" s="2" t="s">
        <v>661</v>
      </c>
      <c r="C746" s="2" t="s">
        <v>641</v>
      </c>
      <c r="D746" s="2" t="s">
        <v>355</v>
      </c>
      <c r="E746" s="2" t="s">
        <v>166</v>
      </c>
    </row>
    <row r="747" customFormat="false" ht="15" hidden="false" customHeight="false" outlineLevel="0" collapsed="false">
      <c r="A747" s="2" t="s">
        <v>226</v>
      </c>
      <c r="B747" s="2" t="s">
        <v>707</v>
      </c>
      <c r="C747" s="2" t="s">
        <v>637</v>
      </c>
      <c r="D747" s="2" t="s">
        <v>505</v>
      </c>
      <c r="E747" s="2" t="s">
        <v>166</v>
      </c>
    </row>
    <row r="748" customFormat="false" ht="15" hidden="false" customHeight="false" outlineLevel="0" collapsed="false">
      <c r="A748" s="2" t="s">
        <v>226</v>
      </c>
      <c r="B748" s="2" t="s">
        <v>716</v>
      </c>
      <c r="C748" s="2" t="s">
        <v>512</v>
      </c>
      <c r="D748" s="2" t="s">
        <v>510</v>
      </c>
      <c r="E748" s="2" t="s">
        <v>166</v>
      </c>
    </row>
    <row r="749" customFormat="false" ht="15" hidden="false" customHeight="false" outlineLevel="0" collapsed="false">
      <c r="A749" s="2" t="s">
        <v>226</v>
      </c>
      <c r="B749" s="2" t="s">
        <v>662</v>
      </c>
      <c r="C749" s="2" t="s">
        <v>630</v>
      </c>
      <c r="D749" s="2" t="s">
        <v>585</v>
      </c>
      <c r="E749" s="2" t="s">
        <v>167</v>
      </c>
    </row>
    <row r="750" customFormat="false" ht="15" hidden="false" customHeight="false" outlineLevel="0" collapsed="false">
      <c r="A750" s="2" t="s">
        <v>226</v>
      </c>
      <c r="B750" s="2" t="s">
        <v>667</v>
      </c>
      <c r="C750" s="2" t="s">
        <v>638</v>
      </c>
      <c r="D750" s="2" t="s">
        <v>668</v>
      </c>
      <c r="E750" s="2" t="s">
        <v>166</v>
      </c>
    </row>
    <row r="751" customFormat="false" ht="15" hidden="false" customHeight="false" outlineLevel="0" collapsed="false">
      <c r="A751" s="2" t="s">
        <v>226</v>
      </c>
      <c r="B751" s="2" t="s">
        <v>669</v>
      </c>
      <c r="C751" s="2" t="s">
        <v>636</v>
      </c>
      <c r="D751" s="2" t="s">
        <v>670</v>
      </c>
      <c r="E751" s="2" t="s">
        <v>166</v>
      </c>
    </row>
    <row r="752" customFormat="false" ht="15" hidden="false" customHeight="false" outlineLevel="0" collapsed="false">
      <c r="A752" s="2" t="s">
        <v>226</v>
      </c>
      <c r="B752" s="2" t="s">
        <v>700</v>
      </c>
      <c r="C752" s="2" t="s">
        <v>558</v>
      </c>
      <c r="D752" s="2" t="s">
        <v>701</v>
      </c>
      <c r="E752" s="2" t="s">
        <v>166</v>
      </c>
    </row>
    <row r="753" customFormat="false" ht="15" hidden="false" customHeight="false" outlineLevel="0" collapsed="false">
      <c r="A753" s="2" t="s">
        <v>226</v>
      </c>
      <c r="B753" s="2" t="s">
        <v>671</v>
      </c>
      <c r="C753" s="2" t="s">
        <v>632</v>
      </c>
      <c r="D753" s="2" t="s">
        <v>672</v>
      </c>
      <c r="E753" s="2" t="s">
        <v>166</v>
      </c>
    </row>
    <row r="754" customFormat="false" ht="15" hidden="false" customHeight="false" outlineLevel="0" collapsed="false">
      <c r="A754" s="2" t="s">
        <v>226</v>
      </c>
      <c r="B754" s="2" t="s">
        <v>675</v>
      </c>
      <c r="C754" s="2" t="s">
        <v>632</v>
      </c>
      <c r="D754" s="2" t="s">
        <v>523</v>
      </c>
      <c r="E754" s="2" t="s">
        <v>168</v>
      </c>
    </row>
    <row r="755" customFormat="false" ht="15" hidden="false" customHeight="false" outlineLevel="0" collapsed="false">
      <c r="A755" s="2" t="s">
        <v>226</v>
      </c>
      <c r="B755" s="2" t="s">
        <v>412</v>
      </c>
      <c r="C755" s="2" t="s">
        <v>632</v>
      </c>
      <c r="D755" s="2" t="s">
        <v>523</v>
      </c>
      <c r="E755" s="2" t="s">
        <v>168</v>
      </c>
    </row>
    <row r="756" customFormat="false" ht="15" hidden="false" customHeight="false" outlineLevel="0" collapsed="false">
      <c r="A756" s="2" t="s">
        <v>226</v>
      </c>
      <c r="B756" s="2" t="s">
        <v>693</v>
      </c>
      <c r="C756" s="2" t="s">
        <v>632</v>
      </c>
      <c r="D756" s="2" t="s">
        <v>523</v>
      </c>
      <c r="E756" s="2" t="s">
        <v>170</v>
      </c>
    </row>
    <row r="757" customFormat="false" ht="15" hidden="false" customHeight="false" outlineLevel="0" collapsed="false">
      <c r="A757" s="2" t="s">
        <v>226</v>
      </c>
      <c r="B757" s="2" t="s">
        <v>694</v>
      </c>
      <c r="C757" s="2" t="s">
        <v>633</v>
      </c>
      <c r="D757" s="2" t="s">
        <v>677</v>
      </c>
      <c r="E757" s="2" t="s">
        <v>166</v>
      </c>
    </row>
    <row r="758" customFormat="false" ht="15" hidden="false" customHeight="false" outlineLevel="0" collapsed="false">
      <c r="A758" s="2" t="s">
        <v>226</v>
      </c>
      <c r="B758" s="2" t="s">
        <v>678</v>
      </c>
      <c r="C758" s="2" t="s">
        <v>634</v>
      </c>
      <c r="D758" s="2" t="s">
        <v>695</v>
      </c>
      <c r="E758" s="2" t="s">
        <v>169</v>
      </c>
    </row>
    <row r="759" customFormat="false" ht="15" hidden="false" customHeight="false" outlineLevel="0" collapsed="false">
      <c r="A759" s="2" t="s">
        <v>226</v>
      </c>
      <c r="B759" s="2" t="s">
        <v>680</v>
      </c>
      <c r="C759" s="2" t="s">
        <v>629</v>
      </c>
      <c r="D759" s="2" t="s">
        <v>681</v>
      </c>
      <c r="E759" s="2" t="s">
        <v>169</v>
      </c>
    </row>
    <row r="760" customFormat="false" ht="15" hidden="false" customHeight="false" outlineLevel="0" collapsed="false">
      <c r="A760" s="2" t="s">
        <v>226</v>
      </c>
      <c r="B760" s="2" t="s">
        <v>370</v>
      </c>
      <c r="C760" s="2" t="s">
        <v>627</v>
      </c>
      <c r="D760" s="2" t="s">
        <v>682</v>
      </c>
      <c r="E760" s="2" t="s">
        <v>166</v>
      </c>
    </row>
    <row r="761" customFormat="false" ht="15" hidden="false" customHeight="false" outlineLevel="0" collapsed="false">
      <c r="A761" s="2" t="s">
        <v>226</v>
      </c>
      <c r="B761" s="2" t="s">
        <v>683</v>
      </c>
      <c r="C761" s="2" t="s">
        <v>627</v>
      </c>
      <c r="D761" s="2" t="s">
        <v>402</v>
      </c>
      <c r="E761" s="2" t="s">
        <v>168</v>
      </c>
    </row>
    <row r="762" customFormat="false" ht="15" hidden="false" customHeight="false" outlineLevel="0" collapsed="false">
      <c r="A762" s="2" t="s">
        <v>226</v>
      </c>
      <c r="B762" s="2" t="s">
        <v>684</v>
      </c>
      <c r="C762" s="2" t="s">
        <v>627</v>
      </c>
      <c r="D762" s="2" t="s">
        <v>402</v>
      </c>
      <c r="E762" s="2" t="s">
        <v>168</v>
      </c>
    </row>
    <row r="763" customFormat="false" ht="15" hidden="false" customHeight="false" outlineLevel="0" collapsed="false">
      <c r="A763" s="2" t="s">
        <v>226</v>
      </c>
      <c r="B763" s="2" t="s">
        <v>410</v>
      </c>
      <c r="C763" s="2" t="s">
        <v>627</v>
      </c>
      <c r="D763" s="2" t="s">
        <v>402</v>
      </c>
      <c r="E763" s="2" t="s">
        <v>168</v>
      </c>
    </row>
    <row r="764" customFormat="false" ht="15" hidden="false" customHeight="false" outlineLevel="0" collapsed="false">
      <c r="A764" s="2" t="s">
        <v>226</v>
      </c>
      <c r="B764" s="2" t="s">
        <v>685</v>
      </c>
      <c r="C764" s="2" t="s">
        <v>627</v>
      </c>
      <c r="D764" s="2" t="s">
        <v>402</v>
      </c>
      <c r="E764" s="2" t="s">
        <v>170</v>
      </c>
    </row>
    <row r="765" customFormat="false" ht="15" hidden="false" customHeight="false" outlineLevel="0" collapsed="false">
      <c r="A765" s="2" t="s">
        <v>226</v>
      </c>
      <c r="B765" s="2" t="s">
        <v>686</v>
      </c>
      <c r="C765" s="2" t="s">
        <v>628</v>
      </c>
      <c r="D765" s="2" t="s">
        <v>687</v>
      </c>
      <c r="E765" s="2" t="s">
        <v>166</v>
      </c>
    </row>
    <row r="766" customFormat="false" ht="15" hidden="false" customHeight="false" outlineLevel="0" collapsed="false">
      <c r="A766" s="2" t="s">
        <v>226</v>
      </c>
      <c r="B766" s="2" t="s">
        <v>688</v>
      </c>
      <c r="C766" s="2" t="s">
        <v>645</v>
      </c>
      <c r="D766" s="2" t="s">
        <v>373</v>
      </c>
      <c r="E766" s="2" t="s">
        <v>170</v>
      </c>
    </row>
    <row r="767" customFormat="false" ht="15" hidden="false" customHeight="false" outlineLevel="0" collapsed="false">
      <c r="A767" s="2" t="s">
        <v>227</v>
      </c>
      <c r="B767" s="2" t="s">
        <v>649</v>
      </c>
      <c r="C767" s="2" t="s">
        <v>635</v>
      </c>
      <c r="D767" s="2" t="s">
        <v>487</v>
      </c>
      <c r="E767" s="2" t="s">
        <v>166</v>
      </c>
    </row>
    <row r="768" customFormat="false" ht="15" hidden="false" customHeight="false" outlineLevel="0" collapsed="false">
      <c r="A768" s="2" t="s">
        <v>227</v>
      </c>
      <c r="B768" s="2" t="s">
        <v>650</v>
      </c>
      <c r="C768" s="2" t="s">
        <v>635</v>
      </c>
      <c r="D768" s="2" t="s">
        <v>651</v>
      </c>
      <c r="E768" s="2" t="s">
        <v>169</v>
      </c>
    </row>
    <row r="769" customFormat="false" ht="15" hidden="false" customHeight="false" outlineLevel="0" collapsed="false">
      <c r="A769" s="2" t="s">
        <v>227</v>
      </c>
      <c r="B769" s="2" t="s">
        <v>652</v>
      </c>
      <c r="C769" s="2" t="s">
        <v>635</v>
      </c>
      <c r="D769" s="2" t="s">
        <v>653</v>
      </c>
      <c r="E769" s="2" t="s">
        <v>169</v>
      </c>
    </row>
    <row r="770" customFormat="false" ht="15" hidden="false" customHeight="false" outlineLevel="0" collapsed="false">
      <c r="A770" s="2" t="s">
        <v>227</v>
      </c>
      <c r="B770" s="2" t="s">
        <v>654</v>
      </c>
      <c r="C770" s="2" t="s">
        <v>635</v>
      </c>
      <c r="D770" s="2" t="s">
        <v>655</v>
      </c>
      <c r="E770" s="2" t="s">
        <v>169</v>
      </c>
    </row>
    <row r="771" customFormat="false" ht="15" hidden="false" customHeight="false" outlineLevel="0" collapsed="false">
      <c r="A771" s="2" t="s">
        <v>227</v>
      </c>
      <c r="B771" s="2" t="s">
        <v>656</v>
      </c>
      <c r="C771" s="2" t="s">
        <v>642</v>
      </c>
      <c r="D771" s="2" t="s">
        <v>487</v>
      </c>
      <c r="E771" s="2" t="s">
        <v>166</v>
      </c>
    </row>
    <row r="772" customFormat="false" ht="15" hidden="false" customHeight="false" outlineLevel="0" collapsed="false">
      <c r="A772" s="2" t="s">
        <v>227</v>
      </c>
      <c r="B772" s="2" t="s">
        <v>320</v>
      </c>
      <c r="C772" s="2" t="s">
        <v>642</v>
      </c>
      <c r="D772" s="2" t="s">
        <v>657</v>
      </c>
      <c r="E772" s="2" t="s">
        <v>169</v>
      </c>
    </row>
    <row r="773" customFormat="false" ht="15" hidden="false" customHeight="false" outlineLevel="0" collapsed="false">
      <c r="A773" s="2" t="s">
        <v>227</v>
      </c>
      <c r="B773" s="2" t="s">
        <v>658</v>
      </c>
      <c r="C773" s="2" t="s">
        <v>642</v>
      </c>
      <c r="D773" s="2" t="s">
        <v>487</v>
      </c>
      <c r="E773" s="2" t="s">
        <v>166</v>
      </c>
    </row>
    <row r="774" customFormat="false" ht="15" hidden="false" customHeight="false" outlineLevel="0" collapsed="false">
      <c r="A774" s="2" t="s">
        <v>227</v>
      </c>
      <c r="B774" s="2" t="s">
        <v>324</v>
      </c>
      <c r="C774" s="2" t="s">
        <v>642</v>
      </c>
      <c r="D774" s="2" t="s">
        <v>610</v>
      </c>
      <c r="E774" s="2" t="s">
        <v>166</v>
      </c>
    </row>
    <row r="775" customFormat="false" ht="15" hidden="false" customHeight="false" outlineLevel="0" collapsed="false">
      <c r="A775" s="2" t="s">
        <v>227</v>
      </c>
      <c r="B775" s="2" t="s">
        <v>704</v>
      </c>
      <c r="C775" s="2" t="s">
        <v>643</v>
      </c>
      <c r="D775" s="2" t="s">
        <v>494</v>
      </c>
      <c r="E775" s="2" t="s">
        <v>167</v>
      </c>
    </row>
    <row r="776" customFormat="false" ht="15" hidden="false" customHeight="false" outlineLevel="0" collapsed="false">
      <c r="A776" s="2" t="s">
        <v>227</v>
      </c>
      <c r="B776" s="2" t="s">
        <v>660</v>
      </c>
      <c r="C776" s="2" t="s">
        <v>640</v>
      </c>
      <c r="D776" s="2" t="s">
        <v>355</v>
      </c>
      <c r="E776" s="2" t="s">
        <v>166</v>
      </c>
    </row>
    <row r="777" customFormat="false" ht="15" hidden="false" customHeight="false" outlineLevel="0" collapsed="false">
      <c r="A777" s="2" t="s">
        <v>227</v>
      </c>
      <c r="B777" s="2" t="s">
        <v>661</v>
      </c>
      <c r="C777" s="2" t="s">
        <v>641</v>
      </c>
      <c r="D777" s="2" t="s">
        <v>355</v>
      </c>
      <c r="E777" s="2" t="s">
        <v>166</v>
      </c>
    </row>
    <row r="778" customFormat="false" ht="15" hidden="false" customHeight="false" outlineLevel="0" collapsed="false">
      <c r="A778" s="2" t="s">
        <v>227</v>
      </c>
      <c r="B778" s="2" t="s">
        <v>662</v>
      </c>
      <c r="C778" s="2" t="s">
        <v>630</v>
      </c>
      <c r="D778" s="2" t="s">
        <v>585</v>
      </c>
      <c r="E778" s="2" t="s">
        <v>167</v>
      </c>
    </row>
    <row r="779" customFormat="false" ht="15" hidden="false" customHeight="false" outlineLevel="0" collapsed="false">
      <c r="A779" s="2" t="s">
        <v>227</v>
      </c>
      <c r="B779" s="2" t="s">
        <v>663</v>
      </c>
      <c r="C779" s="2" t="s">
        <v>631</v>
      </c>
      <c r="D779" s="2" t="s">
        <v>664</v>
      </c>
      <c r="E779" s="2" t="s">
        <v>166</v>
      </c>
    </row>
    <row r="780" customFormat="false" ht="15" hidden="false" customHeight="false" outlineLevel="0" collapsed="false">
      <c r="A780" s="2" t="s">
        <v>227</v>
      </c>
      <c r="B780" s="2" t="s">
        <v>665</v>
      </c>
      <c r="C780" s="2" t="s">
        <v>631</v>
      </c>
      <c r="D780" s="2" t="s">
        <v>666</v>
      </c>
      <c r="E780" s="2" t="s">
        <v>169</v>
      </c>
    </row>
    <row r="781" customFormat="false" ht="15" hidden="false" customHeight="false" outlineLevel="0" collapsed="false">
      <c r="A781" s="2" t="s">
        <v>227</v>
      </c>
      <c r="B781" s="2" t="s">
        <v>667</v>
      </c>
      <c r="C781" s="2" t="s">
        <v>638</v>
      </c>
      <c r="D781" s="2" t="s">
        <v>668</v>
      </c>
      <c r="E781" s="2" t="s">
        <v>166</v>
      </c>
    </row>
    <row r="782" customFormat="false" ht="15" hidden="false" customHeight="false" outlineLevel="0" collapsed="false">
      <c r="A782" s="2" t="s">
        <v>227</v>
      </c>
      <c r="B782" s="2" t="s">
        <v>669</v>
      </c>
      <c r="C782" s="2" t="s">
        <v>636</v>
      </c>
      <c r="D782" s="2" t="s">
        <v>670</v>
      </c>
      <c r="E782" s="2" t="s">
        <v>166</v>
      </c>
    </row>
    <row r="783" customFormat="false" ht="15" hidden="false" customHeight="false" outlineLevel="0" collapsed="false">
      <c r="A783" s="2" t="s">
        <v>227</v>
      </c>
      <c r="B783" s="2" t="s">
        <v>671</v>
      </c>
      <c r="C783" s="2" t="s">
        <v>632</v>
      </c>
      <c r="D783" s="2" t="s">
        <v>672</v>
      </c>
      <c r="E783" s="2" t="s">
        <v>166</v>
      </c>
    </row>
    <row r="784" customFormat="false" ht="15" hidden="false" customHeight="false" outlineLevel="0" collapsed="false">
      <c r="A784" s="2" t="s">
        <v>227</v>
      </c>
      <c r="B784" s="2" t="s">
        <v>673</v>
      </c>
      <c r="C784" s="2" t="s">
        <v>632</v>
      </c>
      <c r="D784" s="2" t="s">
        <v>523</v>
      </c>
      <c r="E784" s="2" t="s">
        <v>168</v>
      </c>
    </row>
    <row r="785" customFormat="false" ht="15" hidden="false" customHeight="false" outlineLevel="0" collapsed="false">
      <c r="A785" s="2" t="s">
        <v>227</v>
      </c>
      <c r="B785" s="2" t="s">
        <v>674</v>
      </c>
      <c r="C785" s="2" t="s">
        <v>632</v>
      </c>
      <c r="D785" s="2" t="s">
        <v>523</v>
      </c>
      <c r="E785" s="2" t="s">
        <v>168</v>
      </c>
    </row>
    <row r="786" customFormat="false" ht="15" hidden="false" customHeight="false" outlineLevel="0" collapsed="false">
      <c r="A786" s="2" t="s">
        <v>227</v>
      </c>
      <c r="B786" s="2" t="s">
        <v>693</v>
      </c>
      <c r="C786" s="2" t="s">
        <v>632</v>
      </c>
      <c r="D786" s="2" t="s">
        <v>523</v>
      </c>
      <c r="E786" s="2" t="s">
        <v>170</v>
      </c>
    </row>
    <row r="787" customFormat="false" ht="15" hidden="false" customHeight="false" outlineLevel="0" collapsed="false">
      <c r="A787" s="2" t="s">
        <v>227</v>
      </c>
      <c r="B787" s="2" t="s">
        <v>676</v>
      </c>
      <c r="C787" s="2" t="s">
        <v>633</v>
      </c>
      <c r="D787" s="2" t="s">
        <v>677</v>
      </c>
      <c r="E787" s="2" t="s">
        <v>166</v>
      </c>
    </row>
    <row r="788" customFormat="false" ht="15" hidden="false" customHeight="false" outlineLevel="0" collapsed="false">
      <c r="A788" s="2" t="s">
        <v>227</v>
      </c>
      <c r="B788" s="2" t="s">
        <v>678</v>
      </c>
      <c r="C788" s="2" t="s">
        <v>634</v>
      </c>
      <c r="D788" s="2" t="s">
        <v>695</v>
      </c>
      <c r="E788" s="2" t="s">
        <v>169</v>
      </c>
    </row>
    <row r="789" customFormat="false" ht="15" hidden="false" customHeight="false" outlineLevel="0" collapsed="false">
      <c r="A789" s="2" t="s">
        <v>227</v>
      </c>
      <c r="B789" s="2" t="s">
        <v>680</v>
      </c>
      <c r="C789" s="2" t="s">
        <v>629</v>
      </c>
      <c r="D789" s="2" t="s">
        <v>703</v>
      </c>
      <c r="E789" s="2" t="s">
        <v>166</v>
      </c>
    </row>
    <row r="790" customFormat="false" ht="15" hidden="false" customHeight="false" outlineLevel="0" collapsed="false">
      <c r="A790" s="2" t="s">
        <v>227</v>
      </c>
      <c r="B790" s="2" t="s">
        <v>370</v>
      </c>
      <c r="C790" s="2" t="s">
        <v>627</v>
      </c>
      <c r="D790" s="2" t="s">
        <v>682</v>
      </c>
      <c r="E790" s="2" t="s">
        <v>166</v>
      </c>
    </row>
    <row r="791" customFormat="false" ht="15" hidden="false" customHeight="false" outlineLevel="0" collapsed="false">
      <c r="A791" s="2" t="s">
        <v>227</v>
      </c>
      <c r="B791" s="2" t="s">
        <v>684</v>
      </c>
      <c r="C791" s="2" t="s">
        <v>627</v>
      </c>
      <c r="D791" s="2" t="s">
        <v>402</v>
      </c>
      <c r="E791" s="2" t="s">
        <v>168</v>
      </c>
    </row>
    <row r="792" customFormat="false" ht="15" hidden="false" customHeight="false" outlineLevel="0" collapsed="false">
      <c r="A792" s="2" t="s">
        <v>227</v>
      </c>
      <c r="B792" s="2" t="s">
        <v>410</v>
      </c>
      <c r="C792" s="2" t="s">
        <v>627</v>
      </c>
      <c r="D792" s="2" t="s">
        <v>402</v>
      </c>
      <c r="E792" s="2" t="s">
        <v>168</v>
      </c>
    </row>
    <row r="793" customFormat="false" ht="15" hidden="false" customHeight="false" outlineLevel="0" collapsed="false">
      <c r="A793" s="2" t="s">
        <v>227</v>
      </c>
      <c r="B793" s="2" t="s">
        <v>685</v>
      </c>
      <c r="C793" s="2" t="s">
        <v>627</v>
      </c>
      <c r="D793" s="2" t="s">
        <v>402</v>
      </c>
      <c r="E793" s="2" t="s">
        <v>170</v>
      </c>
    </row>
    <row r="794" customFormat="false" ht="15" hidden="false" customHeight="false" outlineLevel="0" collapsed="false">
      <c r="A794" s="2" t="s">
        <v>227</v>
      </c>
      <c r="B794" s="2" t="s">
        <v>686</v>
      </c>
      <c r="C794" s="2" t="s">
        <v>628</v>
      </c>
      <c r="D794" s="2" t="s">
        <v>687</v>
      </c>
      <c r="E794" s="2" t="s">
        <v>166</v>
      </c>
    </row>
    <row r="795" customFormat="false" ht="15" hidden="false" customHeight="false" outlineLevel="0" collapsed="false">
      <c r="A795" s="2" t="s">
        <v>227</v>
      </c>
      <c r="B795" s="2" t="s">
        <v>688</v>
      </c>
      <c r="C795" s="2" t="s">
        <v>645</v>
      </c>
      <c r="D795" s="2" t="s">
        <v>373</v>
      </c>
      <c r="E795" s="2" t="s">
        <v>170</v>
      </c>
    </row>
    <row r="796" customFormat="false" ht="15" hidden="false" customHeight="false" outlineLevel="0" collapsed="false">
      <c r="A796" s="2" t="s">
        <v>227</v>
      </c>
      <c r="B796" s="2" t="s">
        <v>689</v>
      </c>
      <c r="C796" s="2" t="s">
        <v>645</v>
      </c>
      <c r="D796" s="2" t="s">
        <v>690</v>
      </c>
      <c r="E796" s="2" t="s">
        <v>167</v>
      </c>
    </row>
    <row r="797" customFormat="false" ht="15" hidden="false" customHeight="false" outlineLevel="0" collapsed="false">
      <c r="A797" s="2" t="s">
        <v>227</v>
      </c>
      <c r="B797" s="2" t="s">
        <v>691</v>
      </c>
      <c r="C797" s="2" t="s">
        <v>645</v>
      </c>
      <c r="D797" s="2" t="s">
        <v>690</v>
      </c>
      <c r="E797" s="2" t="s">
        <v>167</v>
      </c>
    </row>
    <row r="798" customFormat="false" ht="15" hidden="false" customHeight="false" outlineLevel="0" collapsed="false">
      <c r="A798" s="2" t="s">
        <v>228</v>
      </c>
      <c r="B798" s="2" t="s">
        <v>649</v>
      </c>
      <c r="C798" s="2" t="s">
        <v>635</v>
      </c>
      <c r="D798" s="2" t="s">
        <v>487</v>
      </c>
      <c r="E798" s="2" t="s">
        <v>166</v>
      </c>
    </row>
    <row r="799" customFormat="false" ht="15" hidden="false" customHeight="false" outlineLevel="0" collapsed="false">
      <c r="A799" s="2" t="s">
        <v>228</v>
      </c>
      <c r="B799" s="2" t="s">
        <v>650</v>
      </c>
      <c r="C799" s="2" t="s">
        <v>635</v>
      </c>
      <c r="D799" s="2" t="s">
        <v>651</v>
      </c>
      <c r="E799" s="2" t="s">
        <v>169</v>
      </c>
    </row>
    <row r="800" customFormat="false" ht="15" hidden="false" customHeight="false" outlineLevel="0" collapsed="false">
      <c r="A800" s="2" t="s">
        <v>228</v>
      </c>
      <c r="B800" s="2" t="s">
        <v>652</v>
      </c>
      <c r="C800" s="2" t="s">
        <v>635</v>
      </c>
      <c r="D800" s="2" t="s">
        <v>653</v>
      </c>
      <c r="E800" s="2" t="s">
        <v>169</v>
      </c>
    </row>
    <row r="801" customFormat="false" ht="15" hidden="false" customHeight="false" outlineLevel="0" collapsed="false">
      <c r="A801" s="2" t="s">
        <v>228</v>
      </c>
      <c r="B801" s="2" t="s">
        <v>654</v>
      </c>
      <c r="C801" s="2" t="s">
        <v>635</v>
      </c>
      <c r="D801" s="2" t="s">
        <v>655</v>
      </c>
      <c r="E801" s="2" t="s">
        <v>169</v>
      </c>
    </row>
    <row r="802" customFormat="false" ht="15" hidden="false" customHeight="false" outlineLevel="0" collapsed="false">
      <c r="A802" s="2" t="s">
        <v>228</v>
      </c>
      <c r="B802" s="2" t="s">
        <v>656</v>
      </c>
      <c r="C802" s="2" t="s">
        <v>642</v>
      </c>
      <c r="D802" s="2" t="s">
        <v>487</v>
      </c>
      <c r="E802" s="2" t="s">
        <v>166</v>
      </c>
    </row>
    <row r="803" customFormat="false" ht="15" hidden="false" customHeight="false" outlineLevel="0" collapsed="false">
      <c r="A803" s="2" t="s">
        <v>228</v>
      </c>
      <c r="B803" s="2" t="s">
        <v>320</v>
      </c>
      <c r="C803" s="2" t="s">
        <v>642</v>
      </c>
      <c r="D803" s="2" t="s">
        <v>657</v>
      </c>
      <c r="E803" s="2" t="s">
        <v>169</v>
      </c>
    </row>
    <row r="804" customFormat="false" ht="15" hidden="false" customHeight="false" outlineLevel="0" collapsed="false">
      <c r="A804" s="2" t="s">
        <v>228</v>
      </c>
      <c r="B804" s="2" t="s">
        <v>658</v>
      </c>
      <c r="C804" s="2" t="s">
        <v>642</v>
      </c>
      <c r="D804" s="2" t="s">
        <v>487</v>
      </c>
      <c r="E804" s="2" t="s">
        <v>166</v>
      </c>
    </row>
    <row r="805" customFormat="false" ht="15" hidden="false" customHeight="false" outlineLevel="0" collapsed="false">
      <c r="A805" s="2" t="s">
        <v>228</v>
      </c>
      <c r="B805" s="2" t="s">
        <v>324</v>
      </c>
      <c r="C805" s="2" t="s">
        <v>642</v>
      </c>
      <c r="D805" s="2" t="s">
        <v>659</v>
      </c>
      <c r="E805" s="2" t="s">
        <v>169</v>
      </c>
    </row>
    <row r="806" customFormat="false" ht="15" hidden="false" customHeight="false" outlineLevel="0" collapsed="false">
      <c r="A806" s="2" t="s">
        <v>228</v>
      </c>
      <c r="B806" s="2" t="s">
        <v>704</v>
      </c>
      <c r="C806" s="2" t="s">
        <v>643</v>
      </c>
      <c r="D806" s="2" t="s">
        <v>494</v>
      </c>
      <c r="E806" s="2" t="s">
        <v>167</v>
      </c>
    </row>
    <row r="807" customFormat="false" ht="15" hidden="false" customHeight="false" outlineLevel="0" collapsed="false">
      <c r="A807" s="2" t="s">
        <v>228</v>
      </c>
      <c r="B807" s="2" t="s">
        <v>660</v>
      </c>
      <c r="C807" s="2" t="s">
        <v>640</v>
      </c>
      <c r="D807" s="2" t="s">
        <v>355</v>
      </c>
      <c r="E807" s="2" t="s">
        <v>166</v>
      </c>
    </row>
    <row r="808" customFormat="false" ht="15" hidden="false" customHeight="false" outlineLevel="0" collapsed="false">
      <c r="A808" s="2" t="s">
        <v>228</v>
      </c>
      <c r="B808" s="2" t="s">
        <v>661</v>
      </c>
      <c r="C808" s="2" t="s">
        <v>641</v>
      </c>
      <c r="D808" s="2" t="s">
        <v>355</v>
      </c>
      <c r="E808" s="2" t="s">
        <v>166</v>
      </c>
    </row>
    <row r="809" customFormat="false" ht="15" hidden="false" customHeight="false" outlineLevel="0" collapsed="false">
      <c r="A809" s="2" t="s">
        <v>228</v>
      </c>
      <c r="B809" s="2" t="s">
        <v>662</v>
      </c>
      <c r="C809" s="2" t="s">
        <v>630</v>
      </c>
      <c r="D809" s="2" t="s">
        <v>585</v>
      </c>
      <c r="E809" s="2" t="s">
        <v>167</v>
      </c>
    </row>
    <row r="810" customFormat="false" ht="15" hidden="false" customHeight="false" outlineLevel="0" collapsed="false">
      <c r="A810" s="2" t="s">
        <v>228</v>
      </c>
      <c r="B810" s="2" t="s">
        <v>667</v>
      </c>
      <c r="C810" s="2" t="s">
        <v>638</v>
      </c>
      <c r="D810" s="2" t="s">
        <v>668</v>
      </c>
      <c r="E810" s="2" t="s">
        <v>166</v>
      </c>
    </row>
    <row r="811" customFormat="false" ht="15" hidden="false" customHeight="false" outlineLevel="0" collapsed="false">
      <c r="A811" s="2" t="s">
        <v>228</v>
      </c>
      <c r="B811" s="2" t="s">
        <v>669</v>
      </c>
      <c r="C811" s="2" t="s">
        <v>636</v>
      </c>
      <c r="D811" s="2" t="s">
        <v>670</v>
      </c>
      <c r="E811" s="2" t="s">
        <v>166</v>
      </c>
    </row>
    <row r="812" customFormat="false" ht="15" hidden="false" customHeight="false" outlineLevel="0" collapsed="false">
      <c r="A812" s="2" t="s">
        <v>228</v>
      </c>
      <c r="B812" s="2" t="s">
        <v>671</v>
      </c>
      <c r="C812" s="2" t="s">
        <v>632</v>
      </c>
      <c r="D812" s="2" t="s">
        <v>672</v>
      </c>
      <c r="E812" s="2" t="s">
        <v>166</v>
      </c>
    </row>
    <row r="813" customFormat="false" ht="15" hidden="false" customHeight="false" outlineLevel="0" collapsed="false">
      <c r="A813" s="2" t="s">
        <v>228</v>
      </c>
      <c r="B813" s="2" t="s">
        <v>673</v>
      </c>
      <c r="C813" s="2" t="s">
        <v>632</v>
      </c>
      <c r="D813" s="2" t="s">
        <v>523</v>
      </c>
      <c r="E813" s="2" t="s">
        <v>168</v>
      </c>
    </row>
    <row r="814" customFormat="false" ht="15" hidden="false" customHeight="false" outlineLevel="0" collapsed="false">
      <c r="A814" s="2" t="s">
        <v>228</v>
      </c>
      <c r="B814" s="2" t="s">
        <v>674</v>
      </c>
      <c r="C814" s="2" t="s">
        <v>632</v>
      </c>
      <c r="D814" s="2" t="s">
        <v>523</v>
      </c>
      <c r="E814" s="2" t="s">
        <v>168</v>
      </c>
    </row>
    <row r="815" customFormat="false" ht="15" hidden="false" customHeight="false" outlineLevel="0" collapsed="false">
      <c r="A815" s="2" t="s">
        <v>228</v>
      </c>
      <c r="B815" s="2" t="s">
        <v>692</v>
      </c>
      <c r="C815" s="2" t="s">
        <v>632</v>
      </c>
      <c r="D815" s="2" t="s">
        <v>523</v>
      </c>
      <c r="E815" s="2" t="s">
        <v>168</v>
      </c>
    </row>
    <row r="816" customFormat="false" ht="15" hidden="false" customHeight="false" outlineLevel="0" collapsed="false">
      <c r="A816" s="2" t="s">
        <v>228</v>
      </c>
      <c r="B816" s="2" t="s">
        <v>675</v>
      </c>
      <c r="C816" s="2" t="s">
        <v>632</v>
      </c>
      <c r="D816" s="2" t="s">
        <v>523</v>
      </c>
      <c r="E816" s="2" t="s">
        <v>168</v>
      </c>
    </row>
    <row r="817" customFormat="false" ht="15" hidden="false" customHeight="false" outlineLevel="0" collapsed="false">
      <c r="A817" s="2" t="s">
        <v>228</v>
      </c>
      <c r="B817" s="2" t="s">
        <v>412</v>
      </c>
      <c r="C817" s="2" t="s">
        <v>632</v>
      </c>
      <c r="D817" s="2" t="s">
        <v>523</v>
      </c>
      <c r="E817" s="2" t="s">
        <v>168</v>
      </c>
    </row>
    <row r="818" customFormat="false" ht="15" hidden="false" customHeight="false" outlineLevel="0" collapsed="false">
      <c r="A818" s="2" t="s">
        <v>228</v>
      </c>
      <c r="B818" s="2" t="s">
        <v>694</v>
      </c>
      <c r="C818" s="2" t="s">
        <v>633</v>
      </c>
      <c r="D818" s="2" t="s">
        <v>677</v>
      </c>
      <c r="E818" s="2" t="s">
        <v>166</v>
      </c>
    </row>
    <row r="819" customFormat="false" ht="15" hidden="false" customHeight="false" outlineLevel="0" collapsed="false">
      <c r="A819" s="2" t="s">
        <v>228</v>
      </c>
      <c r="B819" s="2" t="s">
        <v>678</v>
      </c>
      <c r="C819" s="2" t="s">
        <v>634</v>
      </c>
      <c r="D819" s="2" t="s">
        <v>695</v>
      </c>
      <c r="E819" s="2" t="s">
        <v>169</v>
      </c>
    </row>
    <row r="820" customFormat="false" ht="15" hidden="false" customHeight="false" outlineLevel="0" collapsed="false">
      <c r="A820" s="2" t="s">
        <v>228</v>
      </c>
      <c r="B820" s="2" t="s">
        <v>680</v>
      </c>
      <c r="C820" s="2" t="s">
        <v>629</v>
      </c>
      <c r="D820" s="2" t="s">
        <v>681</v>
      </c>
      <c r="E820" s="2" t="s">
        <v>169</v>
      </c>
    </row>
    <row r="821" customFormat="false" ht="15" hidden="false" customHeight="false" outlineLevel="0" collapsed="false">
      <c r="A821" s="2" t="s">
        <v>228</v>
      </c>
      <c r="B821" s="2" t="s">
        <v>370</v>
      </c>
      <c r="C821" s="2" t="s">
        <v>627</v>
      </c>
      <c r="D821" s="2" t="s">
        <v>682</v>
      </c>
      <c r="E821" s="2" t="s">
        <v>166</v>
      </c>
    </row>
    <row r="822" customFormat="false" ht="15" hidden="false" customHeight="false" outlineLevel="0" collapsed="false">
      <c r="A822" s="2" t="s">
        <v>228</v>
      </c>
      <c r="B822" s="2" t="s">
        <v>684</v>
      </c>
      <c r="C822" s="2" t="s">
        <v>627</v>
      </c>
      <c r="D822" s="2" t="s">
        <v>402</v>
      </c>
      <c r="E822" s="2" t="s">
        <v>168</v>
      </c>
    </row>
    <row r="823" customFormat="false" ht="15" hidden="false" customHeight="false" outlineLevel="0" collapsed="false">
      <c r="A823" s="2" t="s">
        <v>228</v>
      </c>
      <c r="B823" s="2" t="s">
        <v>410</v>
      </c>
      <c r="C823" s="2" t="s">
        <v>627</v>
      </c>
      <c r="D823" s="2" t="s">
        <v>402</v>
      </c>
      <c r="E823" s="2" t="s">
        <v>168</v>
      </c>
    </row>
    <row r="824" customFormat="false" ht="15" hidden="false" customHeight="false" outlineLevel="0" collapsed="false">
      <c r="A824" s="2" t="s">
        <v>228</v>
      </c>
      <c r="B824" s="2" t="s">
        <v>685</v>
      </c>
      <c r="C824" s="2" t="s">
        <v>627</v>
      </c>
      <c r="D824" s="2" t="s">
        <v>402</v>
      </c>
      <c r="E824" s="2" t="s">
        <v>170</v>
      </c>
    </row>
    <row r="825" customFormat="false" ht="15" hidden="false" customHeight="false" outlineLevel="0" collapsed="false">
      <c r="A825" s="2" t="s">
        <v>228</v>
      </c>
      <c r="B825" s="2" t="s">
        <v>686</v>
      </c>
      <c r="C825" s="2" t="s">
        <v>628</v>
      </c>
      <c r="D825" s="2" t="s">
        <v>687</v>
      </c>
      <c r="E825" s="2" t="s">
        <v>166</v>
      </c>
    </row>
    <row r="826" customFormat="false" ht="15" hidden="false" customHeight="false" outlineLevel="0" collapsed="false">
      <c r="A826" s="2" t="s">
        <v>228</v>
      </c>
      <c r="B826" s="2" t="s">
        <v>688</v>
      </c>
      <c r="C826" s="2" t="s">
        <v>645</v>
      </c>
      <c r="D826" s="2" t="s">
        <v>373</v>
      </c>
      <c r="E826" s="2" t="s">
        <v>170</v>
      </c>
    </row>
    <row r="827" customFormat="false" ht="15" hidden="false" customHeight="false" outlineLevel="0" collapsed="false">
      <c r="A827" s="2" t="s">
        <v>228</v>
      </c>
      <c r="B827" s="2" t="s">
        <v>689</v>
      </c>
      <c r="C827" s="2" t="s">
        <v>645</v>
      </c>
      <c r="D827" s="2" t="s">
        <v>690</v>
      </c>
      <c r="E827" s="2" t="s">
        <v>167</v>
      </c>
    </row>
    <row r="828" customFormat="false" ht="15" hidden="false" customHeight="false" outlineLevel="0" collapsed="false">
      <c r="A828" s="2" t="s">
        <v>228</v>
      </c>
      <c r="B828" s="2" t="s">
        <v>691</v>
      </c>
      <c r="C828" s="2" t="s">
        <v>645</v>
      </c>
      <c r="D828" s="2" t="s">
        <v>690</v>
      </c>
      <c r="E828" s="2" t="s">
        <v>167</v>
      </c>
    </row>
    <row r="829" customFormat="false" ht="15" hidden="false" customHeight="false" outlineLevel="0" collapsed="false">
      <c r="A829" s="2" t="s">
        <v>229</v>
      </c>
      <c r="B829" s="2" t="s">
        <v>649</v>
      </c>
      <c r="C829" s="2" t="s">
        <v>635</v>
      </c>
      <c r="D829" s="2" t="s">
        <v>487</v>
      </c>
      <c r="E829" s="2" t="s">
        <v>166</v>
      </c>
    </row>
    <row r="830" customFormat="false" ht="15" hidden="false" customHeight="false" outlineLevel="0" collapsed="false">
      <c r="A830" s="2" t="s">
        <v>229</v>
      </c>
      <c r="B830" s="2" t="s">
        <v>650</v>
      </c>
      <c r="C830" s="2" t="s">
        <v>635</v>
      </c>
      <c r="D830" s="2" t="s">
        <v>651</v>
      </c>
      <c r="E830" s="2" t="s">
        <v>169</v>
      </c>
    </row>
    <row r="831" customFormat="false" ht="15" hidden="false" customHeight="false" outlineLevel="0" collapsed="false">
      <c r="A831" s="2" t="s">
        <v>229</v>
      </c>
      <c r="B831" s="2" t="s">
        <v>652</v>
      </c>
      <c r="C831" s="2" t="s">
        <v>635</v>
      </c>
      <c r="D831" s="2" t="s">
        <v>653</v>
      </c>
      <c r="E831" s="2" t="s">
        <v>169</v>
      </c>
    </row>
    <row r="832" customFormat="false" ht="15" hidden="false" customHeight="false" outlineLevel="0" collapsed="false">
      <c r="A832" s="2" t="s">
        <v>229</v>
      </c>
      <c r="B832" s="2" t="s">
        <v>654</v>
      </c>
      <c r="C832" s="2" t="s">
        <v>635</v>
      </c>
      <c r="D832" s="2" t="s">
        <v>655</v>
      </c>
      <c r="E832" s="2" t="s">
        <v>169</v>
      </c>
    </row>
    <row r="833" customFormat="false" ht="15" hidden="false" customHeight="false" outlineLevel="0" collapsed="false">
      <c r="A833" s="2" t="s">
        <v>229</v>
      </c>
      <c r="B833" s="2" t="s">
        <v>656</v>
      </c>
      <c r="C833" s="2" t="s">
        <v>642</v>
      </c>
      <c r="D833" s="2" t="s">
        <v>487</v>
      </c>
      <c r="E833" s="2" t="s">
        <v>166</v>
      </c>
    </row>
    <row r="834" customFormat="false" ht="15" hidden="false" customHeight="false" outlineLevel="0" collapsed="false">
      <c r="A834" s="2" t="s">
        <v>229</v>
      </c>
      <c r="B834" s="2" t="s">
        <v>320</v>
      </c>
      <c r="C834" s="2" t="s">
        <v>642</v>
      </c>
      <c r="D834" s="2" t="s">
        <v>657</v>
      </c>
      <c r="E834" s="2" t="s">
        <v>169</v>
      </c>
    </row>
    <row r="835" customFormat="false" ht="15" hidden="false" customHeight="false" outlineLevel="0" collapsed="false">
      <c r="A835" s="2" t="s">
        <v>229</v>
      </c>
      <c r="B835" s="2" t="s">
        <v>658</v>
      </c>
      <c r="C835" s="2" t="s">
        <v>642</v>
      </c>
      <c r="D835" s="2" t="s">
        <v>487</v>
      </c>
      <c r="E835" s="2" t="s">
        <v>166</v>
      </c>
    </row>
    <row r="836" customFormat="false" ht="15" hidden="false" customHeight="false" outlineLevel="0" collapsed="false">
      <c r="A836" s="2" t="s">
        <v>229</v>
      </c>
      <c r="B836" s="2" t="s">
        <v>324</v>
      </c>
      <c r="C836" s="2" t="s">
        <v>642</v>
      </c>
      <c r="D836" s="2" t="s">
        <v>659</v>
      </c>
      <c r="E836" s="2" t="s">
        <v>169</v>
      </c>
    </row>
    <row r="837" customFormat="false" ht="15" hidden="false" customHeight="false" outlineLevel="0" collapsed="false">
      <c r="A837" s="2" t="s">
        <v>229</v>
      </c>
      <c r="B837" s="2" t="s">
        <v>704</v>
      </c>
      <c r="C837" s="2" t="s">
        <v>643</v>
      </c>
      <c r="D837" s="2" t="s">
        <v>494</v>
      </c>
      <c r="E837" s="2" t="s">
        <v>167</v>
      </c>
    </row>
    <row r="838" customFormat="false" ht="15" hidden="false" customHeight="false" outlineLevel="0" collapsed="false">
      <c r="A838" s="2" t="s">
        <v>229</v>
      </c>
      <c r="B838" s="2" t="s">
        <v>660</v>
      </c>
      <c r="C838" s="2" t="s">
        <v>640</v>
      </c>
      <c r="D838" s="2" t="s">
        <v>355</v>
      </c>
      <c r="E838" s="2" t="s">
        <v>166</v>
      </c>
    </row>
    <row r="839" customFormat="false" ht="15" hidden="false" customHeight="false" outlineLevel="0" collapsed="false">
      <c r="A839" s="2" t="s">
        <v>229</v>
      </c>
      <c r="B839" s="2" t="s">
        <v>661</v>
      </c>
      <c r="C839" s="2" t="s">
        <v>641</v>
      </c>
      <c r="D839" s="2" t="s">
        <v>355</v>
      </c>
      <c r="E839" s="2" t="s">
        <v>166</v>
      </c>
    </row>
    <row r="840" customFormat="false" ht="15" hidden="false" customHeight="false" outlineLevel="0" collapsed="false">
      <c r="A840" s="2" t="s">
        <v>229</v>
      </c>
      <c r="B840" s="2" t="s">
        <v>662</v>
      </c>
      <c r="C840" s="2" t="s">
        <v>630</v>
      </c>
      <c r="D840" s="2" t="s">
        <v>585</v>
      </c>
      <c r="E840" s="2" t="s">
        <v>167</v>
      </c>
    </row>
    <row r="841" customFormat="false" ht="15" hidden="false" customHeight="false" outlineLevel="0" collapsed="false">
      <c r="A841" s="2" t="s">
        <v>229</v>
      </c>
      <c r="B841" s="2" t="s">
        <v>667</v>
      </c>
      <c r="C841" s="2" t="s">
        <v>638</v>
      </c>
      <c r="D841" s="2" t="s">
        <v>668</v>
      </c>
      <c r="E841" s="2" t="s">
        <v>166</v>
      </c>
    </row>
    <row r="842" customFormat="false" ht="15" hidden="false" customHeight="false" outlineLevel="0" collapsed="false">
      <c r="A842" s="2" t="s">
        <v>229</v>
      </c>
      <c r="B842" s="2" t="s">
        <v>669</v>
      </c>
      <c r="C842" s="2" t="s">
        <v>636</v>
      </c>
      <c r="D842" s="2" t="s">
        <v>670</v>
      </c>
      <c r="E842" s="2" t="s">
        <v>166</v>
      </c>
    </row>
    <row r="843" customFormat="false" ht="15" hidden="false" customHeight="false" outlineLevel="0" collapsed="false">
      <c r="A843" s="2" t="s">
        <v>229</v>
      </c>
      <c r="B843" s="2" t="s">
        <v>700</v>
      </c>
      <c r="C843" s="2" t="s">
        <v>558</v>
      </c>
      <c r="D843" s="2" t="s">
        <v>701</v>
      </c>
      <c r="E843" s="2" t="s">
        <v>166</v>
      </c>
    </row>
    <row r="844" customFormat="false" ht="15" hidden="false" customHeight="false" outlineLevel="0" collapsed="false">
      <c r="A844" s="2" t="s">
        <v>229</v>
      </c>
      <c r="B844" s="2" t="s">
        <v>671</v>
      </c>
      <c r="C844" s="2" t="s">
        <v>632</v>
      </c>
      <c r="D844" s="2" t="s">
        <v>672</v>
      </c>
      <c r="E844" s="2" t="s">
        <v>166</v>
      </c>
    </row>
    <row r="845" customFormat="false" ht="15" hidden="false" customHeight="false" outlineLevel="0" collapsed="false">
      <c r="A845" s="2" t="s">
        <v>229</v>
      </c>
      <c r="B845" s="2" t="s">
        <v>673</v>
      </c>
      <c r="C845" s="2" t="s">
        <v>632</v>
      </c>
      <c r="D845" s="2" t="s">
        <v>523</v>
      </c>
      <c r="E845" s="2" t="s">
        <v>168</v>
      </c>
    </row>
    <row r="846" customFormat="false" ht="15" hidden="false" customHeight="false" outlineLevel="0" collapsed="false">
      <c r="A846" s="2" t="s">
        <v>229</v>
      </c>
      <c r="B846" s="2" t="s">
        <v>674</v>
      </c>
      <c r="C846" s="2" t="s">
        <v>632</v>
      </c>
      <c r="D846" s="2" t="s">
        <v>523</v>
      </c>
      <c r="E846" s="2" t="s">
        <v>168</v>
      </c>
    </row>
    <row r="847" customFormat="false" ht="15" hidden="false" customHeight="false" outlineLevel="0" collapsed="false">
      <c r="A847" s="2" t="s">
        <v>229</v>
      </c>
      <c r="B847" s="2" t="s">
        <v>675</v>
      </c>
      <c r="C847" s="2" t="s">
        <v>632</v>
      </c>
      <c r="D847" s="2" t="s">
        <v>523</v>
      </c>
      <c r="E847" s="2" t="s">
        <v>168</v>
      </c>
    </row>
    <row r="848" customFormat="false" ht="15" hidden="false" customHeight="false" outlineLevel="0" collapsed="false">
      <c r="A848" s="2" t="s">
        <v>229</v>
      </c>
      <c r="B848" s="2" t="s">
        <v>412</v>
      </c>
      <c r="C848" s="2" t="s">
        <v>632</v>
      </c>
      <c r="D848" s="2" t="s">
        <v>523</v>
      </c>
      <c r="E848" s="2" t="s">
        <v>168</v>
      </c>
    </row>
    <row r="849" customFormat="false" ht="15" hidden="false" customHeight="false" outlineLevel="0" collapsed="false">
      <c r="A849" s="2" t="s">
        <v>229</v>
      </c>
      <c r="B849" s="2" t="s">
        <v>694</v>
      </c>
      <c r="C849" s="2" t="s">
        <v>633</v>
      </c>
      <c r="D849" s="2" t="s">
        <v>677</v>
      </c>
      <c r="E849" s="2" t="s">
        <v>166</v>
      </c>
    </row>
    <row r="850" customFormat="false" ht="15" hidden="false" customHeight="false" outlineLevel="0" collapsed="false">
      <c r="A850" s="2" t="s">
        <v>229</v>
      </c>
      <c r="B850" s="2" t="s">
        <v>678</v>
      </c>
      <c r="C850" s="2" t="s">
        <v>634</v>
      </c>
      <c r="D850" s="2" t="s">
        <v>695</v>
      </c>
      <c r="E850" s="2" t="s">
        <v>169</v>
      </c>
    </row>
    <row r="851" customFormat="false" ht="15" hidden="false" customHeight="false" outlineLevel="0" collapsed="false">
      <c r="A851" s="2" t="s">
        <v>229</v>
      </c>
      <c r="B851" s="2" t="s">
        <v>680</v>
      </c>
      <c r="C851" s="2" t="s">
        <v>629</v>
      </c>
      <c r="D851" s="2" t="s">
        <v>681</v>
      </c>
      <c r="E851" s="2" t="s">
        <v>169</v>
      </c>
    </row>
    <row r="852" customFormat="false" ht="15" hidden="false" customHeight="false" outlineLevel="0" collapsed="false">
      <c r="A852" s="2" t="s">
        <v>229</v>
      </c>
      <c r="B852" s="2" t="s">
        <v>370</v>
      </c>
      <c r="C852" s="2" t="s">
        <v>627</v>
      </c>
      <c r="D852" s="2" t="s">
        <v>682</v>
      </c>
      <c r="E852" s="2" t="s">
        <v>166</v>
      </c>
    </row>
    <row r="853" customFormat="false" ht="15" hidden="false" customHeight="false" outlineLevel="0" collapsed="false">
      <c r="A853" s="2" t="s">
        <v>229</v>
      </c>
      <c r="B853" s="2" t="s">
        <v>684</v>
      </c>
      <c r="C853" s="2" t="s">
        <v>627</v>
      </c>
      <c r="D853" s="2" t="s">
        <v>402</v>
      </c>
      <c r="E853" s="2" t="s">
        <v>168</v>
      </c>
    </row>
    <row r="854" customFormat="false" ht="15" hidden="false" customHeight="false" outlineLevel="0" collapsed="false">
      <c r="A854" s="2" t="s">
        <v>229</v>
      </c>
      <c r="B854" s="2" t="s">
        <v>410</v>
      </c>
      <c r="C854" s="2" t="s">
        <v>627</v>
      </c>
      <c r="D854" s="2" t="s">
        <v>402</v>
      </c>
      <c r="E854" s="2" t="s">
        <v>168</v>
      </c>
    </row>
    <row r="855" customFormat="false" ht="15" hidden="false" customHeight="false" outlineLevel="0" collapsed="false">
      <c r="A855" s="2" t="s">
        <v>229</v>
      </c>
      <c r="B855" s="2" t="s">
        <v>685</v>
      </c>
      <c r="C855" s="2" t="s">
        <v>627</v>
      </c>
      <c r="D855" s="2" t="s">
        <v>402</v>
      </c>
      <c r="E855" s="2" t="s">
        <v>170</v>
      </c>
    </row>
    <row r="856" customFormat="false" ht="15" hidden="false" customHeight="false" outlineLevel="0" collapsed="false">
      <c r="A856" s="2" t="s">
        <v>229</v>
      </c>
      <c r="B856" s="2" t="s">
        <v>708</v>
      </c>
      <c r="C856" s="2" t="s">
        <v>628</v>
      </c>
      <c r="D856" s="2" t="s">
        <v>687</v>
      </c>
      <c r="E856" s="2" t="s">
        <v>166</v>
      </c>
    </row>
    <row r="857" customFormat="false" ht="15" hidden="false" customHeight="false" outlineLevel="0" collapsed="false">
      <c r="A857" s="2" t="s">
        <v>229</v>
      </c>
      <c r="B857" s="2" t="s">
        <v>688</v>
      </c>
      <c r="C857" s="2" t="s">
        <v>645</v>
      </c>
      <c r="D857" s="2" t="s">
        <v>373</v>
      </c>
      <c r="E857" s="2" t="s">
        <v>170</v>
      </c>
    </row>
    <row r="858" customFormat="false" ht="15" hidden="false" customHeight="false" outlineLevel="0" collapsed="false">
      <c r="A858" s="2" t="s">
        <v>229</v>
      </c>
      <c r="B858" s="2" t="s">
        <v>709</v>
      </c>
      <c r="C858" s="2" t="s">
        <v>645</v>
      </c>
      <c r="D858" s="2" t="s">
        <v>710</v>
      </c>
      <c r="E858" s="2" t="s">
        <v>167</v>
      </c>
    </row>
    <row r="859" customFormat="false" ht="15" hidden="false" customHeight="false" outlineLevel="0" collapsed="false">
      <c r="A859" s="2" t="s">
        <v>230</v>
      </c>
      <c r="B859" s="2" t="s">
        <v>649</v>
      </c>
      <c r="C859" s="2" t="s">
        <v>635</v>
      </c>
      <c r="D859" s="2" t="s">
        <v>487</v>
      </c>
      <c r="E859" s="2" t="s">
        <v>166</v>
      </c>
    </row>
    <row r="860" customFormat="false" ht="15" hidden="false" customHeight="false" outlineLevel="0" collapsed="false">
      <c r="A860" s="2" t="s">
        <v>230</v>
      </c>
      <c r="B860" s="2" t="s">
        <v>650</v>
      </c>
      <c r="C860" s="2" t="s">
        <v>635</v>
      </c>
      <c r="D860" s="2" t="s">
        <v>651</v>
      </c>
      <c r="E860" s="2" t="s">
        <v>169</v>
      </c>
    </row>
    <row r="861" customFormat="false" ht="15" hidden="false" customHeight="false" outlineLevel="0" collapsed="false">
      <c r="A861" s="2" t="s">
        <v>230</v>
      </c>
      <c r="B861" s="2" t="s">
        <v>652</v>
      </c>
      <c r="C861" s="2" t="s">
        <v>635</v>
      </c>
      <c r="D861" s="2" t="s">
        <v>653</v>
      </c>
      <c r="E861" s="2" t="s">
        <v>169</v>
      </c>
    </row>
    <row r="862" customFormat="false" ht="15" hidden="false" customHeight="false" outlineLevel="0" collapsed="false">
      <c r="A862" s="2" t="s">
        <v>230</v>
      </c>
      <c r="B862" s="2" t="s">
        <v>654</v>
      </c>
      <c r="C862" s="2" t="s">
        <v>635</v>
      </c>
      <c r="D862" s="2" t="s">
        <v>655</v>
      </c>
      <c r="E862" s="2" t="s">
        <v>169</v>
      </c>
    </row>
    <row r="863" customFormat="false" ht="15" hidden="false" customHeight="false" outlineLevel="0" collapsed="false">
      <c r="A863" s="2" t="s">
        <v>230</v>
      </c>
      <c r="B863" s="2" t="s">
        <v>656</v>
      </c>
      <c r="C863" s="2" t="s">
        <v>642</v>
      </c>
      <c r="D863" s="2" t="s">
        <v>487</v>
      </c>
      <c r="E863" s="2" t="s">
        <v>166</v>
      </c>
    </row>
    <row r="864" customFormat="false" ht="15" hidden="false" customHeight="false" outlineLevel="0" collapsed="false">
      <c r="A864" s="2" t="s">
        <v>230</v>
      </c>
      <c r="B864" s="2" t="s">
        <v>320</v>
      </c>
      <c r="C864" s="2" t="s">
        <v>642</v>
      </c>
      <c r="D864" s="2" t="s">
        <v>657</v>
      </c>
      <c r="E864" s="2" t="s">
        <v>169</v>
      </c>
    </row>
    <row r="865" customFormat="false" ht="15" hidden="false" customHeight="false" outlineLevel="0" collapsed="false">
      <c r="A865" s="2" t="s">
        <v>230</v>
      </c>
      <c r="B865" s="2" t="s">
        <v>658</v>
      </c>
      <c r="C865" s="2" t="s">
        <v>642</v>
      </c>
      <c r="D865" s="2" t="s">
        <v>487</v>
      </c>
      <c r="E865" s="2" t="s">
        <v>166</v>
      </c>
    </row>
    <row r="866" customFormat="false" ht="15" hidden="false" customHeight="false" outlineLevel="0" collapsed="false">
      <c r="A866" s="2" t="s">
        <v>230</v>
      </c>
      <c r="B866" s="2" t="s">
        <v>324</v>
      </c>
      <c r="C866" s="2" t="s">
        <v>642</v>
      </c>
      <c r="D866" s="2" t="s">
        <v>610</v>
      </c>
      <c r="E866" s="2" t="s">
        <v>166</v>
      </c>
    </row>
    <row r="867" customFormat="false" ht="15" hidden="false" customHeight="false" outlineLevel="0" collapsed="false">
      <c r="A867" s="2" t="s">
        <v>230</v>
      </c>
      <c r="B867" s="2" t="s">
        <v>660</v>
      </c>
      <c r="C867" s="2" t="s">
        <v>640</v>
      </c>
      <c r="D867" s="2" t="s">
        <v>355</v>
      </c>
      <c r="E867" s="2" t="s">
        <v>166</v>
      </c>
    </row>
    <row r="868" customFormat="false" ht="15" hidden="false" customHeight="false" outlineLevel="0" collapsed="false">
      <c r="A868" s="2" t="s">
        <v>230</v>
      </c>
      <c r="B868" s="2" t="s">
        <v>661</v>
      </c>
      <c r="C868" s="2" t="s">
        <v>641</v>
      </c>
      <c r="D868" s="2" t="s">
        <v>355</v>
      </c>
      <c r="E868" s="2" t="s">
        <v>166</v>
      </c>
    </row>
    <row r="869" customFormat="false" ht="15" hidden="false" customHeight="false" outlineLevel="0" collapsed="false">
      <c r="A869" s="2" t="s">
        <v>230</v>
      </c>
      <c r="B869" s="2" t="s">
        <v>662</v>
      </c>
      <c r="C869" s="2" t="s">
        <v>630</v>
      </c>
      <c r="D869" s="2" t="s">
        <v>585</v>
      </c>
      <c r="E869" s="2" t="s">
        <v>167</v>
      </c>
    </row>
    <row r="870" customFormat="false" ht="15" hidden="false" customHeight="false" outlineLevel="0" collapsed="false">
      <c r="A870" s="2" t="s">
        <v>230</v>
      </c>
      <c r="B870" s="2" t="s">
        <v>663</v>
      </c>
      <c r="C870" s="2" t="s">
        <v>631</v>
      </c>
      <c r="D870" s="2" t="s">
        <v>664</v>
      </c>
      <c r="E870" s="2" t="s">
        <v>166</v>
      </c>
    </row>
    <row r="871" customFormat="false" ht="15" hidden="false" customHeight="false" outlineLevel="0" collapsed="false">
      <c r="A871" s="2" t="s">
        <v>230</v>
      </c>
      <c r="B871" s="2" t="s">
        <v>665</v>
      </c>
      <c r="C871" s="2" t="s">
        <v>631</v>
      </c>
      <c r="D871" s="2" t="s">
        <v>666</v>
      </c>
      <c r="E871" s="2" t="s">
        <v>169</v>
      </c>
    </row>
    <row r="872" customFormat="false" ht="15" hidden="false" customHeight="false" outlineLevel="0" collapsed="false">
      <c r="A872" s="2" t="s">
        <v>230</v>
      </c>
      <c r="B872" s="2" t="s">
        <v>667</v>
      </c>
      <c r="C872" s="2" t="s">
        <v>638</v>
      </c>
      <c r="D872" s="2" t="s">
        <v>668</v>
      </c>
      <c r="E872" s="2" t="s">
        <v>166</v>
      </c>
    </row>
    <row r="873" customFormat="false" ht="15" hidden="false" customHeight="false" outlineLevel="0" collapsed="false">
      <c r="A873" s="2" t="s">
        <v>230</v>
      </c>
      <c r="B873" s="2" t="s">
        <v>669</v>
      </c>
      <c r="C873" s="2" t="s">
        <v>636</v>
      </c>
      <c r="D873" s="2" t="s">
        <v>670</v>
      </c>
      <c r="E873" s="2" t="s">
        <v>166</v>
      </c>
    </row>
    <row r="874" customFormat="false" ht="15" hidden="false" customHeight="false" outlineLevel="0" collapsed="false">
      <c r="A874" s="2" t="s">
        <v>230</v>
      </c>
      <c r="B874" s="2" t="s">
        <v>671</v>
      </c>
      <c r="C874" s="2" t="s">
        <v>632</v>
      </c>
      <c r="D874" s="2" t="s">
        <v>672</v>
      </c>
      <c r="E874" s="2" t="s">
        <v>166</v>
      </c>
    </row>
    <row r="875" customFormat="false" ht="15" hidden="false" customHeight="false" outlineLevel="0" collapsed="false">
      <c r="A875" s="2" t="s">
        <v>230</v>
      </c>
      <c r="B875" s="2" t="s">
        <v>673</v>
      </c>
      <c r="C875" s="2" t="s">
        <v>632</v>
      </c>
      <c r="D875" s="2" t="s">
        <v>523</v>
      </c>
      <c r="E875" s="2" t="s">
        <v>168</v>
      </c>
    </row>
    <row r="876" customFormat="false" ht="15" hidden="false" customHeight="false" outlineLevel="0" collapsed="false">
      <c r="A876" s="2" t="s">
        <v>230</v>
      </c>
      <c r="B876" s="2" t="s">
        <v>674</v>
      </c>
      <c r="C876" s="2" t="s">
        <v>632</v>
      </c>
      <c r="D876" s="2" t="s">
        <v>523</v>
      </c>
      <c r="E876" s="2" t="s">
        <v>168</v>
      </c>
    </row>
    <row r="877" customFormat="false" ht="15" hidden="false" customHeight="false" outlineLevel="0" collapsed="false">
      <c r="A877" s="2" t="s">
        <v>230</v>
      </c>
      <c r="B877" s="2" t="s">
        <v>692</v>
      </c>
      <c r="C877" s="2" t="s">
        <v>632</v>
      </c>
      <c r="D877" s="2" t="s">
        <v>523</v>
      </c>
      <c r="E877" s="2" t="s">
        <v>168</v>
      </c>
    </row>
    <row r="878" customFormat="false" ht="15" hidden="false" customHeight="false" outlineLevel="0" collapsed="false">
      <c r="A878" s="2" t="s">
        <v>230</v>
      </c>
      <c r="B878" s="2" t="s">
        <v>675</v>
      </c>
      <c r="C878" s="2" t="s">
        <v>632</v>
      </c>
      <c r="D878" s="2" t="s">
        <v>523</v>
      </c>
      <c r="E878" s="2" t="s">
        <v>168</v>
      </c>
    </row>
    <row r="879" customFormat="false" ht="15" hidden="false" customHeight="false" outlineLevel="0" collapsed="false">
      <c r="A879" s="2" t="s">
        <v>230</v>
      </c>
      <c r="B879" s="2" t="s">
        <v>702</v>
      </c>
      <c r="C879" s="2" t="s">
        <v>632</v>
      </c>
      <c r="D879" s="2" t="s">
        <v>523</v>
      </c>
      <c r="E879" s="2" t="s">
        <v>168</v>
      </c>
    </row>
    <row r="880" customFormat="false" ht="15" hidden="false" customHeight="false" outlineLevel="0" collapsed="false">
      <c r="A880" s="2" t="s">
        <v>230</v>
      </c>
      <c r="B880" s="2" t="s">
        <v>412</v>
      </c>
      <c r="C880" s="2" t="s">
        <v>632</v>
      </c>
      <c r="D880" s="2" t="s">
        <v>523</v>
      </c>
      <c r="E880" s="2" t="s">
        <v>168</v>
      </c>
    </row>
    <row r="881" customFormat="false" ht="15" hidden="false" customHeight="false" outlineLevel="0" collapsed="false">
      <c r="A881" s="2" t="s">
        <v>230</v>
      </c>
      <c r="B881" s="2" t="s">
        <v>676</v>
      </c>
      <c r="C881" s="2" t="s">
        <v>633</v>
      </c>
      <c r="D881" s="2" t="s">
        <v>677</v>
      </c>
      <c r="E881" s="2" t="s">
        <v>166</v>
      </c>
    </row>
    <row r="882" customFormat="false" ht="15" hidden="false" customHeight="false" outlineLevel="0" collapsed="false">
      <c r="A882" s="2" t="s">
        <v>230</v>
      </c>
      <c r="B882" s="2" t="s">
        <v>678</v>
      </c>
      <c r="C882" s="2" t="s">
        <v>634</v>
      </c>
      <c r="D882" s="2" t="s">
        <v>679</v>
      </c>
      <c r="E882" s="2" t="s">
        <v>166</v>
      </c>
    </row>
    <row r="883" customFormat="false" ht="15" hidden="false" customHeight="false" outlineLevel="0" collapsed="false">
      <c r="A883" s="2" t="s">
        <v>230</v>
      </c>
      <c r="B883" s="2" t="s">
        <v>680</v>
      </c>
      <c r="C883" s="2" t="s">
        <v>629</v>
      </c>
      <c r="D883" s="2" t="s">
        <v>681</v>
      </c>
      <c r="E883" s="2" t="s">
        <v>169</v>
      </c>
    </row>
    <row r="884" customFormat="false" ht="15" hidden="false" customHeight="false" outlineLevel="0" collapsed="false">
      <c r="A884" s="2" t="s">
        <v>230</v>
      </c>
      <c r="B884" s="2" t="s">
        <v>370</v>
      </c>
      <c r="C884" s="2" t="s">
        <v>627</v>
      </c>
      <c r="D884" s="2" t="s">
        <v>682</v>
      </c>
      <c r="E884" s="2" t="s">
        <v>166</v>
      </c>
    </row>
    <row r="885" customFormat="false" ht="15" hidden="false" customHeight="false" outlineLevel="0" collapsed="false">
      <c r="A885" s="2" t="s">
        <v>230</v>
      </c>
      <c r="B885" s="2" t="s">
        <v>684</v>
      </c>
      <c r="C885" s="2" t="s">
        <v>627</v>
      </c>
      <c r="D885" s="2" t="s">
        <v>402</v>
      </c>
      <c r="E885" s="2" t="s">
        <v>168</v>
      </c>
    </row>
    <row r="886" customFormat="false" ht="15" hidden="false" customHeight="false" outlineLevel="0" collapsed="false">
      <c r="A886" s="2" t="s">
        <v>230</v>
      </c>
      <c r="B886" s="2" t="s">
        <v>410</v>
      </c>
      <c r="C886" s="2" t="s">
        <v>627</v>
      </c>
      <c r="D886" s="2" t="s">
        <v>402</v>
      </c>
      <c r="E886" s="2" t="s">
        <v>168</v>
      </c>
    </row>
    <row r="887" customFormat="false" ht="15" hidden="false" customHeight="false" outlineLevel="0" collapsed="false">
      <c r="A887" s="2" t="s">
        <v>230</v>
      </c>
      <c r="B887" s="2" t="s">
        <v>685</v>
      </c>
      <c r="C887" s="2" t="s">
        <v>627</v>
      </c>
      <c r="D887" s="2" t="s">
        <v>402</v>
      </c>
      <c r="E887" s="2" t="s">
        <v>170</v>
      </c>
    </row>
    <row r="888" customFormat="false" ht="15" hidden="false" customHeight="false" outlineLevel="0" collapsed="false">
      <c r="A888" s="2" t="s">
        <v>230</v>
      </c>
      <c r="B888" s="2" t="s">
        <v>686</v>
      </c>
      <c r="C888" s="2" t="s">
        <v>628</v>
      </c>
      <c r="D888" s="2" t="s">
        <v>687</v>
      </c>
      <c r="E888" s="2" t="s">
        <v>166</v>
      </c>
    </row>
    <row r="889" customFormat="false" ht="15" hidden="false" customHeight="false" outlineLevel="0" collapsed="false">
      <c r="A889" s="2" t="s">
        <v>230</v>
      </c>
      <c r="B889" s="2" t="s">
        <v>688</v>
      </c>
      <c r="C889" s="2" t="s">
        <v>645</v>
      </c>
      <c r="D889" s="2" t="s">
        <v>373</v>
      </c>
      <c r="E889" s="2" t="s">
        <v>170</v>
      </c>
    </row>
    <row r="890" customFormat="false" ht="15" hidden="false" customHeight="false" outlineLevel="0" collapsed="false">
      <c r="A890" s="2" t="s">
        <v>231</v>
      </c>
      <c r="B890" s="2" t="s">
        <v>649</v>
      </c>
      <c r="C890" s="2" t="s">
        <v>635</v>
      </c>
      <c r="D890" s="2" t="s">
        <v>487</v>
      </c>
      <c r="E890" s="2" t="s">
        <v>166</v>
      </c>
    </row>
    <row r="891" customFormat="false" ht="15" hidden="false" customHeight="false" outlineLevel="0" collapsed="false">
      <c r="A891" s="2" t="s">
        <v>231</v>
      </c>
      <c r="B891" s="2" t="s">
        <v>650</v>
      </c>
      <c r="C891" s="2" t="s">
        <v>635</v>
      </c>
      <c r="D891" s="2" t="s">
        <v>651</v>
      </c>
      <c r="E891" s="2" t="s">
        <v>169</v>
      </c>
    </row>
    <row r="892" customFormat="false" ht="15" hidden="false" customHeight="false" outlineLevel="0" collapsed="false">
      <c r="A892" s="2" t="s">
        <v>231</v>
      </c>
      <c r="B892" s="2" t="s">
        <v>652</v>
      </c>
      <c r="C892" s="2" t="s">
        <v>635</v>
      </c>
      <c r="D892" s="2" t="s">
        <v>653</v>
      </c>
      <c r="E892" s="2" t="s">
        <v>169</v>
      </c>
    </row>
    <row r="893" customFormat="false" ht="15" hidden="false" customHeight="false" outlineLevel="0" collapsed="false">
      <c r="A893" s="2" t="s">
        <v>231</v>
      </c>
      <c r="B893" s="2" t="s">
        <v>654</v>
      </c>
      <c r="C893" s="2" t="s">
        <v>635</v>
      </c>
      <c r="D893" s="2" t="s">
        <v>655</v>
      </c>
      <c r="E893" s="2" t="s">
        <v>169</v>
      </c>
    </row>
    <row r="894" customFormat="false" ht="15" hidden="false" customHeight="false" outlineLevel="0" collapsed="false">
      <c r="A894" s="2" t="s">
        <v>231</v>
      </c>
      <c r="B894" s="2" t="s">
        <v>656</v>
      </c>
      <c r="C894" s="2" t="s">
        <v>642</v>
      </c>
      <c r="D894" s="2" t="s">
        <v>487</v>
      </c>
      <c r="E894" s="2" t="s">
        <v>166</v>
      </c>
    </row>
    <row r="895" customFormat="false" ht="15" hidden="false" customHeight="false" outlineLevel="0" collapsed="false">
      <c r="A895" s="2" t="s">
        <v>231</v>
      </c>
      <c r="B895" s="2" t="s">
        <v>320</v>
      </c>
      <c r="C895" s="2" t="s">
        <v>642</v>
      </c>
      <c r="D895" s="2" t="s">
        <v>657</v>
      </c>
      <c r="E895" s="2" t="s">
        <v>169</v>
      </c>
    </row>
    <row r="896" customFormat="false" ht="15" hidden="false" customHeight="false" outlineLevel="0" collapsed="false">
      <c r="A896" s="2" t="s">
        <v>231</v>
      </c>
      <c r="B896" s="2" t="s">
        <v>658</v>
      </c>
      <c r="C896" s="2" t="s">
        <v>642</v>
      </c>
      <c r="D896" s="2" t="s">
        <v>487</v>
      </c>
      <c r="E896" s="2" t="s">
        <v>166</v>
      </c>
    </row>
    <row r="897" customFormat="false" ht="15" hidden="false" customHeight="false" outlineLevel="0" collapsed="false">
      <c r="A897" s="2" t="s">
        <v>231</v>
      </c>
      <c r="B897" s="2" t="s">
        <v>324</v>
      </c>
      <c r="C897" s="2" t="s">
        <v>642</v>
      </c>
      <c r="D897" s="2" t="s">
        <v>610</v>
      </c>
      <c r="E897" s="2" t="s">
        <v>166</v>
      </c>
    </row>
    <row r="898" customFormat="false" ht="15" hidden="false" customHeight="false" outlineLevel="0" collapsed="false">
      <c r="A898" s="2" t="s">
        <v>231</v>
      </c>
      <c r="B898" s="2" t="s">
        <v>660</v>
      </c>
      <c r="C898" s="2" t="s">
        <v>640</v>
      </c>
      <c r="D898" s="2" t="s">
        <v>355</v>
      </c>
      <c r="E898" s="2" t="s">
        <v>166</v>
      </c>
    </row>
    <row r="899" customFormat="false" ht="15" hidden="false" customHeight="false" outlineLevel="0" collapsed="false">
      <c r="A899" s="2" t="s">
        <v>231</v>
      </c>
      <c r="B899" s="2" t="s">
        <v>661</v>
      </c>
      <c r="C899" s="2" t="s">
        <v>641</v>
      </c>
      <c r="D899" s="2" t="s">
        <v>355</v>
      </c>
      <c r="E899" s="2" t="s">
        <v>166</v>
      </c>
    </row>
    <row r="900" customFormat="false" ht="15" hidden="false" customHeight="false" outlineLevel="0" collapsed="false">
      <c r="A900" s="2" t="s">
        <v>231</v>
      </c>
      <c r="B900" s="2" t="s">
        <v>662</v>
      </c>
      <c r="C900" s="2" t="s">
        <v>630</v>
      </c>
      <c r="D900" s="2" t="s">
        <v>585</v>
      </c>
      <c r="E900" s="2" t="s">
        <v>167</v>
      </c>
    </row>
    <row r="901" customFormat="false" ht="15" hidden="false" customHeight="false" outlineLevel="0" collapsed="false">
      <c r="A901" s="2" t="s">
        <v>231</v>
      </c>
      <c r="B901" s="2" t="s">
        <v>667</v>
      </c>
      <c r="C901" s="2" t="s">
        <v>638</v>
      </c>
      <c r="D901" s="2" t="s">
        <v>668</v>
      </c>
      <c r="E901" s="2" t="s">
        <v>166</v>
      </c>
    </row>
    <row r="902" customFormat="false" ht="15" hidden="false" customHeight="false" outlineLevel="0" collapsed="false">
      <c r="A902" s="2" t="s">
        <v>231</v>
      </c>
      <c r="B902" s="2" t="s">
        <v>669</v>
      </c>
      <c r="C902" s="2" t="s">
        <v>636</v>
      </c>
      <c r="D902" s="2" t="s">
        <v>670</v>
      </c>
      <c r="E902" s="2" t="s">
        <v>166</v>
      </c>
    </row>
    <row r="903" customFormat="false" ht="15" hidden="false" customHeight="false" outlineLevel="0" collapsed="false">
      <c r="A903" s="2" t="s">
        <v>231</v>
      </c>
      <c r="B903" s="2" t="s">
        <v>671</v>
      </c>
      <c r="C903" s="2" t="s">
        <v>632</v>
      </c>
      <c r="D903" s="2" t="s">
        <v>672</v>
      </c>
      <c r="E903" s="2" t="s">
        <v>166</v>
      </c>
    </row>
    <row r="904" customFormat="false" ht="15" hidden="false" customHeight="false" outlineLevel="0" collapsed="false">
      <c r="A904" s="2" t="s">
        <v>231</v>
      </c>
      <c r="B904" s="2" t="s">
        <v>673</v>
      </c>
      <c r="C904" s="2" t="s">
        <v>632</v>
      </c>
      <c r="D904" s="2" t="s">
        <v>523</v>
      </c>
      <c r="E904" s="2" t="s">
        <v>168</v>
      </c>
    </row>
    <row r="905" customFormat="false" ht="15" hidden="false" customHeight="false" outlineLevel="0" collapsed="false">
      <c r="A905" s="2" t="s">
        <v>231</v>
      </c>
      <c r="B905" s="2" t="s">
        <v>674</v>
      </c>
      <c r="C905" s="2" t="s">
        <v>632</v>
      </c>
      <c r="D905" s="2" t="s">
        <v>523</v>
      </c>
      <c r="E905" s="2" t="s">
        <v>168</v>
      </c>
    </row>
    <row r="906" customFormat="false" ht="15" hidden="false" customHeight="false" outlineLevel="0" collapsed="false">
      <c r="A906" s="2" t="s">
        <v>231</v>
      </c>
      <c r="B906" s="2" t="s">
        <v>692</v>
      </c>
      <c r="C906" s="2" t="s">
        <v>632</v>
      </c>
      <c r="D906" s="2" t="s">
        <v>523</v>
      </c>
      <c r="E906" s="2" t="s">
        <v>168</v>
      </c>
    </row>
    <row r="907" customFormat="false" ht="15" hidden="false" customHeight="false" outlineLevel="0" collapsed="false">
      <c r="A907" s="2" t="s">
        <v>231</v>
      </c>
      <c r="B907" s="2" t="s">
        <v>675</v>
      </c>
      <c r="C907" s="2" t="s">
        <v>632</v>
      </c>
      <c r="D907" s="2" t="s">
        <v>523</v>
      </c>
      <c r="E907" s="2" t="s">
        <v>168</v>
      </c>
    </row>
    <row r="908" customFormat="false" ht="15" hidden="false" customHeight="false" outlineLevel="0" collapsed="false">
      <c r="A908" s="2" t="s">
        <v>231</v>
      </c>
      <c r="B908" s="2" t="s">
        <v>412</v>
      </c>
      <c r="C908" s="2" t="s">
        <v>632</v>
      </c>
      <c r="D908" s="2" t="s">
        <v>523</v>
      </c>
      <c r="E908" s="2" t="s">
        <v>168</v>
      </c>
    </row>
    <row r="909" customFormat="false" ht="15" hidden="false" customHeight="false" outlineLevel="0" collapsed="false">
      <c r="A909" s="2" t="s">
        <v>231</v>
      </c>
      <c r="B909" s="2" t="s">
        <v>694</v>
      </c>
      <c r="C909" s="2" t="s">
        <v>633</v>
      </c>
      <c r="D909" s="2" t="s">
        <v>677</v>
      </c>
      <c r="E909" s="2" t="s">
        <v>166</v>
      </c>
    </row>
    <row r="910" customFormat="false" ht="15" hidden="false" customHeight="false" outlineLevel="0" collapsed="false">
      <c r="A910" s="2" t="s">
        <v>231</v>
      </c>
      <c r="B910" s="2" t="s">
        <v>678</v>
      </c>
      <c r="C910" s="2" t="s">
        <v>634</v>
      </c>
      <c r="D910" s="2" t="s">
        <v>679</v>
      </c>
      <c r="E910" s="2" t="s">
        <v>166</v>
      </c>
    </row>
    <row r="911" customFormat="false" ht="15" hidden="false" customHeight="false" outlineLevel="0" collapsed="false">
      <c r="A911" s="2" t="s">
        <v>231</v>
      </c>
      <c r="B911" s="2" t="s">
        <v>680</v>
      </c>
      <c r="C911" s="2" t="s">
        <v>629</v>
      </c>
      <c r="D911" s="2" t="s">
        <v>681</v>
      </c>
      <c r="E911" s="2" t="s">
        <v>169</v>
      </c>
    </row>
    <row r="912" customFormat="false" ht="15" hidden="false" customHeight="false" outlineLevel="0" collapsed="false">
      <c r="A912" s="2" t="s">
        <v>231</v>
      </c>
      <c r="B912" s="2" t="s">
        <v>370</v>
      </c>
      <c r="C912" s="2" t="s">
        <v>627</v>
      </c>
      <c r="D912" s="2" t="s">
        <v>682</v>
      </c>
      <c r="E912" s="2" t="s">
        <v>166</v>
      </c>
    </row>
    <row r="913" customFormat="false" ht="15" hidden="false" customHeight="false" outlineLevel="0" collapsed="false">
      <c r="A913" s="2" t="s">
        <v>231</v>
      </c>
      <c r="B913" s="2" t="s">
        <v>696</v>
      </c>
      <c r="C913" s="2" t="s">
        <v>627</v>
      </c>
      <c r="D913" s="2" t="s">
        <v>402</v>
      </c>
      <c r="E913" s="2" t="s">
        <v>168</v>
      </c>
    </row>
    <row r="914" customFormat="false" ht="15" hidden="false" customHeight="false" outlineLevel="0" collapsed="false">
      <c r="A914" s="2" t="s">
        <v>231</v>
      </c>
      <c r="B914" s="2" t="s">
        <v>697</v>
      </c>
      <c r="C914" s="2" t="s">
        <v>627</v>
      </c>
      <c r="D914" s="2" t="s">
        <v>402</v>
      </c>
      <c r="E914" s="2" t="s">
        <v>168</v>
      </c>
    </row>
    <row r="915" customFormat="false" ht="15" hidden="false" customHeight="false" outlineLevel="0" collapsed="false">
      <c r="A915" s="2" t="s">
        <v>231</v>
      </c>
      <c r="B915" s="2" t="s">
        <v>683</v>
      </c>
      <c r="C915" s="2" t="s">
        <v>627</v>
      </c>
      <c r="D915" s="2" t="s">
        <v>402</v>
      </c>
      <c r="E915" s="2" t="s">
        <v>168</v>
      </c>
    </row>
    <row r="916" customFormat="false" ht="15" hidden="false" customHeight="false" outlineLevel="0" collapsed="false">
      <c r="A916" s="2" t="s">
        <v>231</v>
      </c>
      <c r="B916" s="2" t="s">
        <v>684</v>
      </c>
      <c r="C916" s="2" t="s">
        <v>627</v>
      </c>
      <c r="D916" s="2" t="s">
        <v>402</v>
      </c>
      <c r="E916" s="2" t="s">
        <v>168</v>
      </c>
    </row>
    <row r="917" customFormat="false" ht="15" hidden="false" customHeight="false" outlineLevel="0" collapsed="false">
      <c r="A917" s="2" t="s">
        <v>231</v>
      </c>
      <c r="B917" s="2" t="s">
        <v>410</v>
      </c>
      <c r="C917" s="2" t="s">
        <v>627</v>
      </c>
      <c r="D917" s="2" t="s">
        <v>402</v>
      </c>
      <c r="E917" s="2" t="s">
        <v>168</v>
      </c>
    </row>
    <row r="918" customFormat="false" ht="15" hidden="false" customHeight="false" outlineLevel="0" collapsed="false">
      <c r="A918" s="2" t="s">
        <v>231</v>
      </c>
      <c r="B918" s="2" t="s">
        <v>686</v>
      </c>
      <c r="C918" s="2" t="s">
        <v>628</v>
      </c>
      <c r="D918" s="2" t="s">
        <v>687</v>
      </c>
      <c r="E918" s="2" t="s">
        <v>166</v>
      </c>
    </row>
    <row r="919" customFormat="false" ht="15" hidden="false" customHeight="false" outlineLevel="0" collapsed="false">
      <c r="A919" s="2" t="s">
        <v>231</v>
      </c>
      <c r="B919" s="2" t="s">
        <v>705</v>
      </c>
      <c r="C919" s="2" t="s">
        <v>639</v>
      </c>
      <c r="D919" s="2" t="s">
        <v>598</v>
      </c>
      <c r="E919" s="2" t="s">
        <v>170</v>
      </c>
    </row>
    <row r="920" customFormat="false" ht="15" hidden="false" customHeight="false" outlineLevel="0" collapsed="false">
      <c r="A920" s="2" t="s">
        <v>231</v>
      </c>
      <c r="B920" s="2" t="s">
        <v>705</v>
      </c>
      <c r="C920" s="2" t="s">
        <v>639</v>
      </c>
      <c r="D920" s="2" t="s">
        <v>598</v>
      </c>
      <c r="E920" s="2" t="s">
        <v>170</v>
      </c>
    </row>
    <row r="921" customFormat="false" ht="15" hidden="false" customHeight="false" outlineLevel="0" collapsed="false">
      <c r="A921" s="2" t="s">
        <v>231</v>
      </c>
      <c r="B921" s="2" t="s">
        <v>711</v>
      </c>
      <c r="C921" s="2" t="s">
        <v>644</v>
      </c>
      <c r="D921" s="2" t="s">
        <v>604</v>
      </c>
      <c r="E921" s="2" t="s">
        <v>170</v>
      </c>
    </row>
    <row r="922" customFormat="false" ht="15" hidden="false" customHeight="false" outlineLevel="0" collapsed="false">
      <c r="A922" s="2" t="s">
        <v>231</v>
      </c>
      <c r="B922" s="2" t="s">
        <v>688</v>
      </c>
      <c r="C922" s="2" t="s">
        <v>645</v>
      </c>
      <c r="D922" s="2" t="s">
        <v>373</v>
      </c>
      <c r="E922" s="2" t="s">
        <v>170</v>
      </c>
    </row>
    <row r="923" customFormat="false" ht="15" hidden="false" customHeight="false" outlineLevel="0" collapsed="false">
      <c r="A923" s="2" t="s">
        <v>231</v>
      </c>
      <c r="B923" s="2" t="s">
        <v>689</v>
      </c>
      <c r="C923" s="2" t="s">
        <v>645</v>
      </c>
      <c r="D923" s="2" t="s">
        <v>690</v>
      </c>
      <c r="E923" s="2" t="s">
        <v>167</v>
      </c>
    </row>
    <row r="924" customFormat="false" ht="15" hidden="false" customHeight="false" outlineLevel="0" collapsed="false">
      <c r="A924" s="2" t="s">
        <v>231</v>
      </c>
      <c r="B924" s="2" t="s">
        <v>691</v>
      </c>
      <c r="C924" s="2" t="s">
        <v>645</v>
      </c>
      <c r="D924" s="2" t="s">
        <v>690</v>
      </c>
      <c r="E924" s="2" t="s">
        <v>167</v>
      </c>
    </row>
    <row r="925" customFormat="false" ht="15" hidden="false" customHeight="false" outlineLevel="0" collapsed="false">
      <c r="A925" s="2" t="s">
        <v>232</v>
      </c>
      <c r="B925" s="2" t="s">
        <v>649</v>
      </c>
      <c r="C925" s="2" t="s">
        <v>635</v>
      </c>
      <c r="D925" s="2" t="s">
        <v>487</v>
      </c>
      <c r="E925" s="2" t="s">
        <v>166</v>
      </c>
    </row>
    <row r="926" customFormat="false" ht="15" hidden="false" customHeight="false" outlineLevel="0" collapsed="false">
      <c r="A926" s="2" t="s">
        <v>232</v>
      </c>
      <c r="B926" s="2" t="s">
        <v>650</v>
      </c>
      <c r="C926" s="2" t="s">
        <v>635</v>
      </c>
      <c r="D926" s="2" t="s">
        <v>651</v>
      </c>
      <c r="E926" s="2" t="s">
        <v>169</v>
      </c>
    </row>
    <row r="927" customFormat="false" ht="15" hidden="false" customHeight="false" outlineLevel="0" collapsed="false">
      <c r="A927" s="2" t="s">
        <v>232</v>
      </c>
      <c r="B927" s="2" t="s">
        <v>652</v>
      </c>
      <c r="C927" s="2" t="s">
        <v>635</v>
      </c>
      <c r="D927" s="2" t="s">
        <v>653</v>
      </c>
      <c r="E927" s="2" t="s">
        <v>169</v>
      </c>
    </row>
    <row r="928" customFormat="false" ht="15" hidden="false" customHeight="false" outlineLevel="0" collapsed="false">
      <c r="A928" s="2" t="s">
        <v>232</v>
      </c>
      <c r="B928" s="2" t="s">
        <v>654</v>
      </c>
      <c r="C928" s="2" t="s">
        <v>635</v>
      </c>
      <c r="D928" s="2" t="s">
        <v>655</v>
      </c>
      <c r="E928" s="2" t="s">
        <v>169</v>
      </c>
    </row>
    <row r="929" customFormat="false" ht="15" hidden="false" customHeight="false" outlineLevel="0" collapsed="false">
      <c r="A929" s="2" t="s">
        <v>232</v>
      </c>
      <c r="B929" s="2" t="s">
        <v>656</v>
      </c>
      <c r="C929" s="2" t="s">
        <v>642</v>
      </c>
      <c r="D929" s="2" t="s">
        <v>487</v>
      </c>
      <c r="E929" s="2" t="s">
        <v>166</v>
      </c>
    </row>
    <row r="930" customFormat="false" ht="15" hidden="false" customHeight="false" outlineLevel="0" collapsed="false">
      <c r="A930" s="2" t="s">
        <v>232</v>
      </c>
      <c r="B930" s="2" t="s">
        <v>320</v>
      </c>
      <c r="C930" s="2" t="s">
        <v>642</v>
      </c>
      <c r="D930" s="2" t="s">
        <v>579</v>
      </c>
      <c r="E930" s="2" t="s">
        <v>167</v>
      </c>
    </row>
    <row r="931" customFormat="false" ht="15" hidden="false" customHeight="false" outlineLevel="0" collapsed="false">
      <c r="A931" s="2" t="s">
        <v>232</v>
      </c>
      <c r="B931" s="2" t="s">
        <v>658</v>
      </c>
      <c r="C931" s="2" t="s">
        <v>642</v>
      </c>
      <c r="D931" s="2" t="s">
        <v>487</v>
      </c>
      <c r="E931" s="2" t="s">
        <v>166</v>
      </c>
    </row>
    <row r="932" customFormat="false" ht="15" hidden="false" customHeight="false" outlineLevel="0" collapsed="false">
      <c r="A932" s="2" t="s">
        <v>232</v>
      </c>
      <c r="B932" s="2" t="s">
        <v>324</v>
      </c>
      <c r="C932" s="2" t="s">
        <v>642</v>
      </c>
      <c r="D932" s="2" t="s">
        <v>659</v>
      </c>
      <c r="E932" s="2" t="s">
        <v>169</v>
      </c>
    </row>
    <row r="933" customFormat="false" ht="15" hidden="false" customHeight="false" outlineLevel="0" collapsed="false">
      <c r="A933" s="2" t="s">
        <v>232</v>
      </c>
      <c r="B933" s="2" t="s">
        <v>660</v>
      </c>
      <c r="C933" s="2" t="s">
        <v>640</v>
      </c>
      <c r="D933" s="2" t="s">
        <v>355</v>
      </c>
      <c r="E933" s="2" t="s">
        <v>166</v>
      </c>
    </row>
    <row r="934" customFormat="false" ht="15" hidden="false" customHeight="false" outlineLevel="0" collapsed="false">
      <c r="A934" s="2" t="s">
        <v>232</v>
      </c>
      <c r="B934" s="2" t="s">
        <v>661</v>
      </c>
      <c r="C934" s="2" t="s">
        <v>641</v>
      </c>
      <c r="D934" s="2" t="s">
        <v>355</v>
      </c>
      <c r="E934" s="2" t="s">
        <v>166</v>
      </c>
    </row>
    <row r="935" customFormat="false" ht="15" hidden="false" customHeight="false" outlineLevel="0" collapsed="false">
      <c r="A935" s="2" t="s">
        <v>232</v>
      </c>
      <c r="B935" s="2" t="s">
        <v>662</v>
      </c>
      <c r="C935" s="2" t="s">
        <v>630</v>
      </c>
      <c r="D935" s="2" t="s">
        <v>585</v>
      </c>
      <c r="E935" s="2" t="s">
        <v>167</v>
      </c>
    </row>
    <row r="936" customFormat="false" ht="15" hidden="false" customHeight="false" outlineLevel="0" collapsed="false">
      <c r="A936" s="2" t="s">
        <v>232</v>
      </c>
      <c r="B936" s="2" t="s">
        <v>667</v>
      </c>
      <c r="C936" s="2" t="s">
        <v>638</v>
      </c>
      <c r="D936" s="2" t="s">
        <v>668</v>
      </c>
      <c r="E936" s="2" t="s">
        <v>166</v>
      </c>
    </row>
    <row r="937" customFormat="false" ht="15" hidden="false" customHeight="false" outlineLevel="0" collapsed="false">
      <c r="A937" s="2" t="s">
        <v>232</v>
      </c>
      <c r="B937" s="2" t="s">
        <v>669</v>
      </c>
      <c r="C937" s="2" t="s">
        <v>636</v>
      </c>
      <c r="D937" s="2" t="s">
        <v>670</v>
      </c>
      <c r="E937" s="2" t="s">
        <v>166</v>
      </c>
    </row>
    <row r="938" customFormat="false" ht="15" hidden="false" customHeight="false" outlineLevel="0" collapsed="false">
      <c r="A938" s="2" t="s">
        <v>232</v>
      </c>
      <c r="B938" s="2" t="s">
        <v>671</v>
      </c>
      <c r="C938" s="2" t="s">
        <v>632</v>
      </c>
      <c r="D938" s="2" t="s">
        <v>672</v>
      </c>
      <c r="E938" s="2" t="s">
        <v>166</v>
      </c>
    </row>
    <row r="939" customFormat="false" ht="15" hidden="false" customHeight="false" outlineLevel="0" collapsed="false">
      <c r="A939" s="2" t="s">
        <v>232</v>
      </c>
      <c r="B939" s="2" t="s">
        <v>675</v>
      </c>
      <c r="C939" s="2" t="s">
        <v>632</v>
      </c>
      <c r="D939" s="2" t="s">
        <v>523</v>
      </c>
      <c r="E939" s="2" t="s">
        <v>168</v>
      </c>
    </row>
    <row r="940" customFormat="false" ht="15" hidden="false" customHeight="false" outlineLevel="0" collapsed="false">
      <c r="A940" s="2" t="s">
        <v>232</v>
      </c>
      <c r="B940" s="2" t="s">
        <v>412</v>
      </c>
      <c r="C940" s="2" t="s">
        <v>632</v>
      </c>
      <c r="D940" s="2" t="s">
        <v>523</v>
      </c>
      <c r="E940" s="2" t="s">
        <v>168</v>
      </c>
    </row>
    <row r="941" customFormat="false" ht="15" hidden="false" customHeight="false" outlineLevel="0" collapsed="false">
      <c r="A941" s="2" t="s">
        <v>232</v>
      </c>
      <c r="B941" s="2" t="s">
        <v>693</v>
      </c>
      <c r="C941" s="2" t="s">
        <v>632</v>
      </c>
      <c r="D941" s="2" t="s">
        <v>523</v>
      </c>
      <c r="E941" s="2" t="s">
        <v>170</v>
      </c>
    </row>
    <row r="942" customFormat="false" ht="15" hidden="false" customHeight="false" outlineLevel="0" collapsed="false">
      <c r="A942" s="2" t="s">
        <v>232</v>
      </c>
      <c r="B942" s="2" t="s">
        <v>694</v>
      </c>
      <c r="C942" s="2" t="s">
        <v>633</v>
      </c>
      <c r="D942" s="2" t="s">
        <v>677</v>
      </c>
      <c r="E942" s="2" t="s">
        <v>166</v>
      </c>
    </row>
    <row r="943" customFormat="false" ht="15" hidden="false" customHeight="false" outlineLevel="0" collapsed="false">
      <c r="A943" s="2" t="s">
        <v>232</v>
      </c>
      <c r="B943" s="2" t="s">
        <v>678</v>
      </c>
      <c r="C943" s="2" t="s">
        <v>634</v>
      </c>
      <c r="D943" s="2" t="s">
        <v>679</v>
      </c>
      <c r="E943" s="2" t="s">
        <v>166</v>
      </c>
    </row>
    <row r="944" customFormat="false" ht="15" hidden="false" customHeight="false" outlineLevel="0" collapsed="false">
      <c r="A944" s="2" t="s">
        <v>232</v>
      </c>
      <c r="B944" s="2" t="s">
        <v>680</v>
      </c>
      <c r="C944" s="2" t="s">
        <v>629</v>
      </c>
      <c r="D944" s="2" t="s">
        <v>681</v>
      </c>
      <c r="E944" s="2" t="s">
        <v>169</v>
      </c>
    </row>
    <row r="945" customFormat="false" ht="15" hidden="false" customHeight="false" outlineLevel="0" collapsed="false">
      <c r="A945" s="2" t="s">
        <v>232</v>
      </c>
      <c r="B945" s="2" t="s">
        <v>370</v>
      </c>
      <c r="C945" s="2" t="s">
        <v>627</v>
      </c>
      <c r="D945" s="2" t="s">
        <v>682</v>
      </c>
      <c r="E945" s="2" t="s">
        <v>166</v>
      </c>
    </row>
    <row r="946" customFormat="false" ht="15" hidden="false" customHeight="false" outlineLevel="0" collapsed="false">
      <c r="A946" s="2" t="s">
        <v>232</v>
      </c>
      <c r="B946" s="2" t="s">
        <v>683</v>
      </c>
      <c r="C946" s="2" t="s">
        <v>627</v>
      </c>
      <c r="D946" s="2" t="s">
        <v>402</v>
      </c>
      <c r="E946" s="2" t="s">
        <v>168</v>
      </c>
    </row>
    <row r="947" customFormat="false" ht="15" hidden="false" customHeight="false" outlineLevel="0" collapsed="false">
      <c r="A947" s="2" t="s">
        <v>232</v>
      </c>
      <c r="B947" s="2" t="s">
        <v>684</v>
      </c>
      <c r="C947" s="2" t="s">
        <v>627</v>
      </c>
      <c r="D947" s="2" t="s">
        <v>402</v>
      </c>
      <c r="E947" s="2" t="s">
        <v>168</v>
      </c>
    </row>
    <row r="948" customFormat="false" ht="15" hidden="false" customHeight="false" outlineLevel="0" collapsed="false">
      <c r="A948" s="2" t="s">
        <v>232</v>
      </c>
      <c r="B948" s="2" t="s">
        <v>410</v>
      </c>
      <c r="C948" s="2" t="s">
        <v>627</v>
      </c>
      <c r="D948" s="2" t="s">
        <v>402</v>
      </c>
      <c r="E948" s="2" t="s">
        <v>168</v>
      </c>
    </row>
    <row r="949" customFormat="false" ht="15" hidden="false" customHeight="false" outlineLevel="0" collapsed="false">
      <c r="A949" s="2" t="s">
        <v>232</v>
      </c>
      <c r="B949" s="2" t="s">
        <v>685</v>
      </c>
      <c r="C949" s="2" t="s">
        <v>627</v>
      </c>
      <c r="D949" s="2" t="s">
        <v>402</v>
      </c>
      <c r="E949" s="2" t="s">
        <v>170</v>
      </c>
    </row>
    <row r="950" customFormat="false" ht="15" hidden="false" customHeight="false" outlineLevel="0" collapsed="false">
      <c r="A950" s="2" t="s">
        <v>232</v>
      </c>
      <c r="B950" s="2" t="s">
        <v>686</v>
      </c>
      <c r="C950" s="2" t="s">
        <v>628</v>
      </c>
      <c r="D950" s="2" t="s">
        <v>687</v>
      </c>
      <c r="E950" s="2" t="s">
        <v>166</v>
      </c>
    </row>
    <row r="951" customFormat="false" ht="15" hidden="false" customHeight="false" outlineLevel="0" collapsed="false">
      <c r="A951" s="2" t="s">
        <v>232</v>
      </c>
      <c r="B951" s="2" t="s">
        <v>711</v>
      </c>
      <c r="C951" s="2" t="s">
        <v>644</v>
      </c>
      <c r="D951" s="2" t="s">
        <v>604</v>
      </c>
      <c r="E951" s="2" t="s">
        <v>170</v>
      </c>
    </row>
    <row r="952" customFormat="false" ht="15" hidden="false" customHeight="false" outlineLevel="0" collapsed="false">
      <c r="A952" s="2" t="s">
        <v>232</v>
      </c>
      <c r="B952" s="2" t="s">
        <v>688</v>
      </c>
      <c r="C952" s="2" t="s">
        <v>645</v>
      </c>
      <c r="D952" s="2" t="s">
        <v>373</v>
      </c>
      <c r="E952" s="2" t="s">
        <v>170</v>
      </c>
    </row>
    <row r="953" customFormat="false" ht="15" hidden="false" customHeight="false" outlineLevel="0" collapsed="false">
      <c r="A953" s="2" t="s">
        <v>232</v>
      </c>
      <c r="B953" s="2" t="s">
        <v>689</v>
      </c>
      <c r="C953" s="2" t="s">
        <v>645</v>
      </c>
      <c r="D953" s="2" t="s">
        <v>690</v>
      </c>
      <c r="E953" s="2" t="s">
        <v>167</v>
      </c>
    </row>
    <row r="954" customFormat="false" ht="15" hidden="false" customHeight="false" outlineLevel="0" collapsed="false">
      <c r="A954" s="2" t="s">
        <v>232</v>
      </c>
      <c r="B954" s="2" t="s">
        <v>691</v>
      </c>
      <c r="C954" s="2" t="s">
        <v>645</v>
      </c>
      <c r="D954" s="2" t="s">
        <v>690</v>
      </c>
      <c r="E954" s="2" t="s">
        <v>167</v>
      </c>
    </row>
    <row r="955" customFormat="false" ht="15" hidden="false" customHeight="false" outlineLevel="0" collapsed="false">
      <c r="A955" s="2" t="s">
        <v>233</v>
      </c>
      <c r="B955" s="2" t="s">
        <v>649</v>
      </c>
      <c r="C955" s="2" t="s">
        <v>635</v>
      </c>
      <c r="D955" s="2" t="s">
        <v>487</v>
      </c>
      <c r="E955" s="2" t="s">
        <v>166</v>
      </c>
    </row>
    <row r="956" customFormat="false" ht="15" hidden="false" customHeight="false" outlineLevel="0" collapsed="false">
      <c r="A956" s="2" t="s">
        <v>233</v>
      </c>
      <c r="B956" s="2" t="s">
        <v>650</v>
      </c>
      <c r="C956" s="2" t="s">
        <v>635</v>
      </c>
      <c r="D956" s="2" t="s">
        <v>651</v>
      </c>
      <c r="E956" s="2" t="s">
        <v>169</v>
      </c>
    </row>
    <row r="957" customFormat="false" ht="15" hidden="false" customHeight="false" outlineLevel="0" collapsed="false">
      <c r="A957" s="2" t="s">
        <v>233</v>
      </c>
      <c r="B957" s="2" t="s">
        <v>652</v>
      </c>
      <c r="C957" s="2" t="s">
        <v>635</v>
      </c>
      <c r="D957" s="2" t="s">
        <v>653</v>
      </c>
      <c r="E957" s="2" t="s">
        <v>169</v>
      </c>
    </row>
    <row r="958" customFormat="false" ht="15" hidden="false" customHeight="false" outlineLevel="0" collapsed="false">
      <c r="A958" s="2" t="s">
        <v>233</v>
      </c>
      <c r="B958" s="2" t="s">
        <v>654</v>
      </c>
      <c r="C958" s="2" t="s">
        <v>635</v>
      </c>
      <c r="D958" s="2" t="s">
        <v>655</v>
      </c>
      <c r="E958" s="2" t="s">
        <v>169</v>
      </c>
    </row>
    <row r="959" customFormat="false" ht="15" hidden="false" customHeight="false" outlineLevel="0" collapsed="false">
      <c r="A959" s="2" t="s">
        <v>233</v>
      </c>
      <c r="B959" s="2" t="s">
        <v>706</v>
      </c>
      <c r="C959" s="2" t="s">
        <v>635</v>
      </c>
      <c r="D959" s="2" t="s">
        <v>548</v>
      </c>
      <c r="E959" s="2" t="s">
        <v>166</v>
      </c>
    </row>
    <row r="960" customFormat="false" ht="15" hidden="false" customHeight="false" outlineLevel="0" collapsed="false">
      <c r="A960" s="2" t="s">
        <v>233</v>
      </c>
      <c r="B960" s="2" t="s">
        <v>656</v>
      </c>
      <c r="C960" s="2" t="s">
        <v>642</v>
      </c>
      <c r="D960" s="2" t="s">
        <v>487</v>
      </c>
      <c r="E960" s="2" t="s">
        <v>166</v>
      </c>
    </row>
    <row r="961" customFormat="false" ht="15" hidden="false" customHeight="false" outlineLevel="0" collapsed="false">
      <c r="A961" s="2" t="s">
        <v>233</v>
      </c>
      <c r="B961" s="2" t="s">
        <v>320</v>
      </c>
      <c r="C961" s="2" t="s">
        <v>642</v>
      </c>
      <c r="D961" s="2" t="s">
        <v>579</v>
      </c>
      <c r="E961" s="2" t="s">
        <v>167</v>
      </c>
    </row>
    <row r="962" customFormat="false" ht="15" hidden="false" customHeight="false" outlineLevel="0" collapsed="false">
      <c r="A962" s="2" t="s">
        <v>233</v>
      </c>
      <c r="B962" s="2" t="s">
        <v>658</v>
      </c>
      <c r="C962" s="2" t="s">
        <v>642</v>
      </c>
      <c r="D962" s="2" t="s">
        <v>487</v>
      </c>
      <c r="E962" s="2" t="s">
        <v>166</v>
      </c>
    </row>
    <row r="963" customFormat="false" ht="15" hidden="false" customHeight="false" outlineLevel="0" collapsed="false">
      <c r="A963" s="2" t="s">
        <v>233</v>
      </c>
      <c r="B963" s="2" t="s">
        <v>324</v>
      </c>
      <c r="C963" s="2" t="s">
        <v>642</v>
      </c>
      <c r="D963" s="2" t="s">
        <v>610</v>
      </c>
      <c r="E963" s="2" t="s">
        <v>166</v>
      </c>
    </row>
    <row r="964" customFormat="false" ht="15" hidden="false" customHeight="false" outlineLevel="0" collapsed="false">
      <c r="A964" s="2" t="s">
        <v>233</v>
      </c>
      <c r="B964" s="2" t="s">
        <v>704</v>
      </c>
      <c r="C964" s="2" t="s">
        <v>643</v>
      </c>
      <c r="D964" s="2" t="s">
        <v>494</v>
      </c>
      <c r="E964" s="2" t="s">
        <v>167</v>
      </c>
    </row>
    <row r="965" customFormat="false" ht="15" hidden="false" customHeight="false" outlineLevel="0" collapsed="false">
      <c r="A965" s="2" t="s">
        <v>233</v>
      </c>
      <c r="B965" s="2" t="s">
        <v>660</v>
      </c>
      <c r="C965" s="2" t="s">
        <v>640</v>
      </c>
      <c r="D965" s="2" t="s">
        <v>355</v>
      </c>
      <c r="E965" s="2" t="s">
        <v>166</v>
      </c>
    </row>
    <row r="966" customFormat="false" ht="15" hidden="false" customHeight="false" outlineLevel="0" collapsed="false">
      <c r="A966" s="2" t="s">
        <v>233</v>
      </c>
      <c r="B966" s="2" t="s">
        <v>661</v>
      </c>
      <c r="C966" s="2" t="s">
        <v>641</v>
      </c>
      <c r="D966" s="2" t="s">
        <v>355</v>
      </c>
      <c r="E966" s="2" t="s">
        <v>166</v>
      </c>
    </row>
    <row r="967" customFormat="false" ht="15" hidden="false" customHeight="false" outlineLevel="0" collapsed="false">
      <c r="A967" s="2" t="s">
        <v>233</v>
      </c>
      <c r="B967" s="2" t="s">
        <v>662</v>
      </c>
      <c r="C967" s="2" t="s">
        <v>630</v>
      </c>
      <c r="D967" s="2" t="s">
        <v>585</v>
      </c>
      <c r="E967" s="2" t="s">
        <v>167</v>
      </c>
    </row>
    <row r="968" customFormat="false" ht="15" hidden="false" customHeight="false" outlineLevel="0" collapsed="false">
      <c r="A968" s="2" t="s">
        <v>233</v>
      </c>
      <c r="B968" s="2" t="s">
        <v>667</v>
      </c>
      <c r="C968" s="2" t="s">
        <v>638</v>
      </c>
      <c r="D968" s="2" t="s">
        <v>668</v>
      </c>
      <c r="E968" s="2" t="s">
        <v>166</v>
      </c>
    </row>
    <row r="969" customFormat="false" ht="15" hidden="false" customHeight="false" outlineLevel="0" collapsed="false">
      <c r="A969" s="2" t="s">
        <v>233</v>
      </c>
      <c r="B969" s="2" t="s">
        <v>669</v>
      </c>
      <c r="C969" s="2" t="s">
        <v>636</v>
      </c>
      <c r="D969" s="2" t="s">
        <v>670</v>
      </c>
      <c r="E969" s="2" t="s">
        <v>166</v>
      </c>
    </row>
    <row r="970" customFormat="false" ht="15" hidden="false" customHeight="false" outlineLevel="0" collapsed="false">
      <c r="A970" s="2" t="s">
        <v>233</v>
      </c>
      <c r="B970" s="2" t="s">
        <v>671</v>
      </c>
      <c r="C970" s="2" t="s">
        <v>632</v>
      </c>
      <c r="D970" s="2" t="s">
        <v>712</v>
      </c>
      <c r="E970" s="2" t="s">
        <v>166</v>
      </c>
    </row>
    <row r="971" customFormat="false" ht="15" hidden="false" customHeight="false" outlineLevel="0" collapsed="false">
      <c r="A971" s="2" t="s">
        <v>233</v>
      </c>
      <c r="B971" s="2" t="s">
        <v>675</v>
      </c>
      <c r="C971" s="2" t="s">
        <v>632</v>
      </c>
      <c r="D971" s="2" t="s">
        <v>713</v>
      </c>
      <c r="E971" s="2" t="s">
        <v>166</v>
      </c>
    </row>
    <row r="972" customFormat="false" ht="15" hidden="false" customHeight="false" outlineLevel="0" collapsed="false">
      <c r="A972" s="2" t="s">
        <v>233</v>
      </c>
      <c r="B972" s="2" t="s">
        <v>412</v>
      </c>
      <c r="C972" s="2" t="s">
        <v>632</v>
      </c>
      <c r="D972" s="2" t="s">
        <v>713</v>
      </c>
      <c r="E972" s="2" t="s">
        <v>166</v>
      </c>
    </row>
    <row r="973" customFormat="false" ht="15" hidden="false" customHeight="false" outlineLevel="0" collapsed="false">
      <c r="A973" s="2" t="s">
        <v>233</v>
      </c>
      <c r="B973" s="2" t="s">
        <v>693</v>
      </c>
      <c r="C973" s="2" t="s">
        <v>632</v>
      </c>
      <c r="D973" s="2" t="s">
        <v>713</v>
      </c>
      <c r="E973" s="2" t="s">
        <v>170</v>
      </c>
    </row>
    <row r="974" customFormat="false" ht="15" hidden="false" customHeight="false" outlineLevel="0" collapsed="false">
      <c r="A974" s="2" t="s">
        <v>233</v>
      </c>
      <c r="B974" s="2" t="s">
        <v>694</v>
      </c>
      <c r="C974" s="2" t="s">
        <v>633</v>
      </c>
      <c r="D974" s="2" t="s">
        <v>714</v>
      </c>
      <c r="E974" s="2" t="s">
        <v>166</v>
      </c>
    </row>
    <row r="975" customFormat="false" ht="15" hidden="false" customHeight="false" outlineLevel="0" collapsed="false">
      <c r="A975" s="2" t="s">
        <v>233</v>
      </c>
      <c r="B975" s="2" t="s">
        <v>678</v>
      </c>
      <c r="C975" s="2" t="s">
        <v>634</v>
      </c>
      <c r="D975" s="2" t="s">
        <v>695</v>
      </c>
      <c r="E975" s="2" t="s">
        <v>169</v>
      </c>
    </row>
    <row r="976" customFormat="false" ht="15" hidden="false" customHeight="false" outlineLevel="0" collapsed="false">
      <c r="A976" s="2" t="s">
        <v>233</v>
      </c>
      <c r="B976" s="2" t="s">
        <v>680</v>
      </c>
      <c r="C976" s="2" t="s">
        <v>629</v>
      </c>
      <c r="D976" s="2" t="s">
        <v>703</v>
      </c>
      <c r="E976" s="2" t="s">
        <v>166</v>
      </c>
    </row>
    <row r="977" customFormat="false" ht="15" hidden="false" customHeight="false" outlineLevel="0" collapsed="false">
      <c r="A977" s="2" t="s">
        <v>233</v>
      </c>
      <c r="B977" s="2" t="s">
        <v>370</v>
      </c>
      <c r="C977" s="2" t="s">
        <v>627</v>
      </c>
      <c r="D977" s="2" t="s">
        <v>682</v>
      </c>
      <c r="E977" s="2" t="s">
        <v>166</v>
      </c>
    </row>
    <row r="978" customFormat="false" ht="15" hidden="false" customHeight="false" outlineLevel="0" collapsed="false">
      <c r="A978" s="2" t="s">
        <v>233</v>
      </c>
      <c r="B978" s="2" t="s">
        <v>696</v>
      </c>
      <c r="C978" s="2" t="s">
        <v>627</v>
      </c>
      <c r="D978" s="2" t="s">
        <v>402</v>
      </c>
      <c r="E978" s="2" t="s">
        <v>168</v>
      </c>
    </row>
    <row r="979" customFormat="false" ht="15" hidden="false" customHeight="false" outlineLevel="0" collapsed="false">
      <c r="A979" s="2" t="s">
        <v>233</v>
      </c>
      <c r="B979" s="2" t="s">
        <v>697</v>
      </c>
      <c r="C979" s="2" t="s">
        <v>627</v>
      </c>
      <c r="D979" s="2" t="s">
        <v>402</v>
      </c>
      <c r="E979" s="2" t="s">
        <v>168</v>
      </c>
    </row>
    <row r="980" customFormat="false" ht="15" hidden="false" customHeight="false" outlineLevel="0" collapsed="false">
      <c r="A980" s="2" t="s">
        <v>233</v>
      </c>
      <c r="B980" s="2" t="s">
        <v>684</v>
      </c>
      <c r="C980" s="2" t="s">
        <v>627</v>
      </c>
      <c r="D980" s="2" t="s">
        <v>402</v>
      </c>
      <c r="E980" s="2" t="s">
        <v>168</v>
      </c>
    </row>
    <row r="981" customFormat="false" ht="15" hidden="false" customHeight="false" outlineLevel="0" collapsed="false">
      <c r="A981" s="2" t="s">
        <v>233</v>
      </c>
      <c r="B981" s="2" t="s">
        <v>410</v>
      </c>
      <c r="C981" s="2" t="s">
        <v>627</v>
      </c>
      <c r="D981" s="2" t="s">
        <v>402</v>
      </c>
      <c r="E981" s="2" t="s">
        <v>168</v>
      </c>
    </row>
    <row r="982" customFormat="false" ht="15" hidden="false" customHeight="false" outlineLevel="0" collapsed="false">
      <c r="A982" s="2" t="s">
        <v>233</v>
      </c>
      <c r="B982" s="2" t="s">
        <v>686</v>
      </c>
      <c r="C982" s="2" t="s">
        <v>628</v>
      </c>
      <c r="D982" s="2" t="s">
        <v>687</v>
      </c>
      <c r="E982" s="2" t="s">
        <v>166</v>
      </c>
    </row>
    <row r="983" customFormat="false" ht="15" hidden="false" customHeight="false" outlineLevel="0" collapsed="false">
      <c r="A983" s="2" t="s">
        <v>233</v>
      </c>
      <c r="B983" s="2" t="s">
        <v>688</v>
      </c>
      <c r="C983" s="2" t="s">
        <v>645</v>
      </c>
      <c r="D983" s="2" t="s">
        <v>373</v>
      </c>
      <c r="E983" s="2" t="s">
        <v>170</v>
      </c>
    </row>
    <row r="984" customFormat="false" ht="15" hidden="false" customHeight="false" outlineLevel="0" collapsed="false">
      <c r="A984" s="2" t="s">
        <v>233</v>
      </c>
      <c r="B984" s="2" t="s">
        <v>689</v>
      </c>
      <c r="C984" s="2" t="s">
        <v>645</v>
      </c>
      <c r="D984" s="2" t="s">
        <v>690</v>
      </c>
      <c r="E984" s="2" t="s">
        <v>167</v>
      </c>
    </row>
    <row r="985" customFormat="false" ht="15" hidden="false" customHeight="false" outlineLevel="0" collapsed="false">
      <c r="A985" s="2" t="s">
        <v>233</v>
      </c>
      <c r="B985" s="2" t="s">
        <v>691</v>
      </c>
      <c r="C985" s="2" t="s">
        <v>645</v>
      </c>
      <c r="D985" s="2" t="s">
        <v>690</v>
      </c>
      <c r="E985" s="2" t="s">
        <v>167</v>
      </c>
    </row>
    <row r="986" customFormat="false" ht="15" hidden="false" customHeight="false" outlineLevel="0" collapsed="false">
      <c r="A986" s="2" t="s">
        <v>236</v>
      </c>
      <c r="B986" s="2" t="s">
        <v>649</v>
      </c>
      <c r="C986" s="2" t="s">
        <v>635</v>
      </c>
      <c r="D986" s="2" t="s">
        <v>487</v>
      </c>
      <c r="E986" s="2" t="s">
        <v>166</v>
      </c>
    </row>
    <row r="987" customFormat="false" ht="15" hidden="false" customHeight="false" outlineLevel="0" collapsed="false">
      <c r="A987" s="2" t="s">
        <v>236</v>
      </c>
      <c r="B987" s="2" t="s">
        <v>650</v>
      </c>
      <c r="C987" s="2" t="s">
        <v>635</v>
      </c>
      <c r="D987" s="2" t="s">
        <v>651</v>
      </c>
      <c r="E987" s="2" t="s">
        <v>169</v>
      </c>
    </row>
    <row r="988" customFormat="false" ht="15" hidden="false" customHeight="false" outlineLevel="0" collapsed="false">
      <c r="A988" s="2" t="s">
        <v>236</v>
      </c>
      <c r="B988" s="2" t="s">
        <v>652</v>
      </c>
      <c r="C988" s="2" t="s">
        <v>635</v>
      </c>
      <c r="D988" s="2" t="s">
        <v>653</v>
      </c>
      <c r="E988" s="2" t="s">
        <v>169</v>
      </c>
    </row>
    <row r="989" customFormat="false" ht="15" hidden="false" customHeight="false" outlineLevel="0" collapsed="false">
      <c r="A989" s="2" t="s">
        <v>236</v>
      </c>
      <c r="B989" s="2" t="s">
        <v>654</v>
      </c>
      <c r="C989" s="2" t="s">
        <v>635</v>
      </c>
      <c r="D989" s="2" t="s">
        <v>655</v>
      </c>
      <c r="E989" s="2" t="s">
        <v>169</v>
      </c>
    </row>
    <row r="990" customFormat="false" ht="15" hidden="false" customHeight="false" outlineLevel="0" collapsed="false">
      <c r="A990" s="2" t="s">
        <v>236</v>
      </c>
      <c r="B990" s="2" t="s">
        <v>656</v>
      </c>
      <c r="C990" s="2" t="s">
        <v>642</v>
      </c>
      <c r="D990" s="2" t="s">
        <v>487</v>
      </c>
      <c r="E990" s="2" t="s">
        <v>166</v>
      </c>
    </row>
    <row r="991" customFormat="false" ht="15" hidden="false" customHeight="false" outlineLevel="0" collapsed="false">
      <c r="A991" s="2" t="s">
        <v>236</v>
      </c>
      <c r="B991" s="2" t="s">
        <v>320</v>
      </c>
      <c r="C991" s="2" t="s">
        <v>642</v>
      </c>
      <c r="D991" s="2" t="s">
        <v>657</v>
      </c>
      <c r="E991" s="2" t="s">
        <v>169</v>
      </c>
    </row>
    <row r="992" customFormat="false" ht="15" hidden="false" customHeight="false" outlineLevel="0" collapsed="false">
      <c r="A992" s="2" t="s">
        <v>236</v>
      </c>
      <c r="B992" s="2" t="s">
        <v>658</v>
      </c>
      <c r="C992" s="2" t="s">
        <v>642</v>
      </c>
      <c r="D992" s="2" t="s">
        <v>487</v>
      </c>
      <c r="E992" s="2" t="s">
        <v>166</v>
      </c>
    </row>
    <row r="993" customFormat="false" ht="15" hidden="false" customHeight="false" outlineLevel="0" collapsed="false">
      <c r="A993" s="2" t="s">
        <v>236</v>
      </c>
      <c r="B993" s="2" t="s">
        <v>324</v>
      </c>
      <c r="C993" s="2" t="s">
        <v>642</v>
      </c>
      <c r="D993" s="2" t="s">
        <v>610</v>
      </c>
      <c r="E993" s="2" t="s">
        <v>166</v>
      </c>
    </row>
    <row r="994" customFormat="false" ht="15" hidden="false" customHeight="false" outlineLevel="0" collapsed="false">
      <c r="A994" s="2" t="s">
        <v>236</v>
      </c>
      <c r="B994" s="2" t="s">
        <v>704</v>
      </c>
      <c r="C994" s="2" t="s">
        <v>643</v>
      </c>
      <c r="D994" s="2" t="s">
        <v>494</v>
      </c>
      <c r="E994" s="2" t="s">
        <v>167</v>
      </c>
    </row>
    <row r="995" customFormat="false" ht="15" hidden="false" customHeight="false" outlineLevel="0" collapsed="false">
      <c r="A995" s="2" t="s">
        <v>236</v>
      </c>
      <c r="B995" s="2" t="s">
        <v>660</v>
      </c>
      <c r="C995" s="2" t="s">
        <v>640</v>
      </c>
      <c r="D995" s="2" t="s">
        <v>355</v>
      </c>
      <c r="E995" s="2" t="s">
        <v>166</v>
      </c>
    </row>
    <row r="996" customFormat="false" ht="15" hidden="false" customHeight="false" outlineLevel="0" collapsed="false">
      <c r="A996" s="2" t="s">
        <v>236</v>
      </c>
      <c r="B996" s="2" t="s">
        <v>661</v>
      </c>
      <c r="C996" s="2" t="s">
        <v>641</v>
      </c>
      <c r="D996" s="2" t="s">
        <v>355</v>
      </c>
      <c r="E996" s="2" t="s">
        <v>166</v>
      </c>
    </row>
    <row r="997" customFormat="false" ht="15" hidden="false" customHeight="false" outlineLevel="0" collapsed="false">
      <c r="A997" s="2" t="s">
        <v>236</v>
      </c>
      <c r="B997" s="2" t="s">
        <v>662</v>
      </c>
      <c r="C997" s="2" t="s">
        <v>630</v>
      </c>
      <c r="D997" s="2" t="s">
        <v>585</v>
      </c>
      <c r="E997" s="2" t="s">
        <v>167</v>
      </c>
    </row>
    <row r="998" customFormat="false" ht="15" hidden="false" customHeight="false" outlineLevel="0" collapsed="false">
      <c r="A998" s="2" t="s">
        <v>236</v>
      </c>
      <c r="B998" s="2" t="s">
        <v>667</v>
      </c>
      <c r="C998" s="2" t="s">
        <v>638</v>
      </c>
      <c r="D998" s="2" t="s">
        <v>668</v>
      </c>
      <c r="E998" s="2" t="s">
        <v>166</v>
      </c>
    </row>
    <row r="999" customFormat="false" ht="15" hidden="false" customHeight="false" outlineLevel="0" collapsed="false">
      <c r="A999" s="2" t="s">
        <v>236</v>
      </c>
      <c r="B999" s="2" t="s">
        <v>669</v>
      </c>
      <c r="C999" s="2" t="s">
        <v>636</v>
      </c>
      <c r="D999" s="2" t="s">
        <v>670</v>
      </c>
      <c r="E999" s="2" t="s">
        <v>166</v>
      </c>
    </row>
    <row r="1000" customFormat="false" ht="15" hidden="false" customHeight="false" outlineLevel="0" collapsed="false">
      <c r="A1000" s="2" t="s">
        <v>236</v>
      </c>
      <c r="B1000" s="2" t="s">
        <v>671</v>
      </c>
      <c r="C1000" s="2" t="s">
        <v>632</v>
      </c>
      <c r="D1000" s="2" t="s">
        <v>672</v>
      </c>
      <c r="E1000" s="2" t="s">
        <v>166</v>
      </c>
    </row>
    <row r="1001" customFormat="false" ht="15" hidden="false" customHeight="false" outlineLevel="0" collapsed="false">
      <c r="A1001" s="2" t="s">
        <v>236</v>
      </c>
      <c r="B1001" s="2" t="s">
        <v>675</v>
      </c>
      <c r="C1001" s="2" t="s">
        <v>632</v>
      </c>
      <c r="D1001" s="2" t="s">
        <v>523</v>
      </c>
      <c r="E1001" s="2" t="s">
        <v>168</v>
      </c>
    </row>
    <row r="1002" customFormat="false" ht="15" hidden="false" customHeight="false" outlineLevel="0" collapsed="false">
      <c r="A1002" s="2" t="s">
        <v>236</v>
      </c>
      <c r="B1002" s="2" t="s">
        <v>412</v>
      </c>
      <c r="C1002" s="2" t="s">
        <v>632</v>
      </c>
      <c r="D1002" s="2" t="s">
        <v>523</v>
      </c>
      <c r="E1002" s="2" t="s">
        <v>168</v>
      </c>
    </row>
    <row r="1003" customFormat="false" ht="15" hidden="false" customHeight="false" outlineLevel="0" collapsed="false">
      <c r="A1003" s="2" t="s">
        <v>236</v>
      </c>
      <c r="B1003" s="2" t="s">
        <v>693</v>
      </c>
      <c r="C1003" s="2" t="s">
        <v>632</v>
      </c>
      <c r="D1003" s="2" t="s">
        <v>523</v>
      </c>
      <c r="E1003" s="2" t="s">
        <v>170</v>
      </c>
    </row>
    <row r="1004" customFormat="false" ht="15" hidden="false" customHeight="false" outlineLevel="0" collapsed="false">
      <c r="A1004" s="2" t="s">
        <v>236</v>
      </c>
      <c r="B1004" s="2" t="s">
        <v>694</v>
      </c>
      <c r="C1004" s="2" t="s">
        <v>633</v>
      </c>
      <c r="D1004" s="2" t="s">
        <v>677</v>
      </c>
      <c r="E1004" s="2" t="s">
        <v>166</v>
      </c>
    </row>
    <row r="1005" customFormat="false" ht="15" hidden="false" customHeight="false" outlineLevel="0" collapsed="false">
      <c r="A1005" s="2" t="s">
        <v>236</v>
      </c>
      <c r="B1005" s="2" t="s">
        <v>678</v>
      </c>
      <c r="C1005" s="2" t="s">
        <v>634</v>
      </c>
      <c r="D1005" s="2" t="s">
        <v>695</v>
      </c>
      <c r="E1005" s="2" t="s">
        <v>169</v>
      </c>
    </row>
    <row r="1006" customFormat="false" ht="15" hidden="false" customHeight="false" outlineLevel="0" collapsed="false">
      <c r="A1006" s="2" t="s">
        <v>236</v>
      </c>
      <c r="B1006" s="2" t="s">
        <v>680</v>
      </c>
      <c r="C1006" s="2" t="s">
        <v>629</v>
      </c>
      <c r="D1006" s="2" t="s">
        <v>681</v>
      </c>
      <c r="E1006" s="2" t="s">
        <v>169</v>
      </c>
    </row>
    <row r="1007" customFormat="false" ht="15" hidden="false" customHeight="false" outlineLevel="0" collapsed="false">
      <c r="A1007" s="2" t="s">
        <v>236</v>
      </c>
      <c r="B1007" s="2" t="s">
        <v>370</v>
      </c>
      <c r="C1007" s="2" t="s">
        <v>627</v>
      </c>
      <c r="D1007" s="2" t="s">
        <v>682</v>
      </c>
      <c r="E1007" s="2" t="s">
        <v>166</v>
      </c>
    </row>
    <row r="1008" customFormat="false" ht="15" hidden="false" customHeight="false" outlineLevel="0" collapsed="false">
      <c r="A1008" s="2" t="s">
        <v>236</v>
      </c>
      <c r="B1008" s="2" t="s">
        <v>683</v>
      </c>
      <c r="C1008" s="2" t="s">
        <v>627</v>
      </c>
      <c r="D1008" s="2" t="s">
        <v>402</v>
      </c>
      <c r="E1008" s="2" t="s">
        <v>168</v>
      </c>
    </row>
    <row r="1009" customFormat="false" ht="15" hidden="false" customHeight="false" outlineLevel="0" collapsed="false">
      <c r="A1009" s="2" t="s">
        <v>236</v>
      </c>
      <c r="B1009" s="2" t="s">
        <v>684</v>
      </c>
      <c r="C1009" s="2" t="s">
        <v>627</v>
      </c>
      <c r="D1009" s="2" t="s">
        <v>402</v>
      </c>
      <c r="E1009" s="2" t="s">
        <v>168</v>
      </c>
    </row>
    <row r="1010" customFormat="false" ht="15" hidden="false" customHeight="false" outlineLevel="0" collapsed="false">
      <c r="A1010" s="2" t="s">
        <v>236</v>
      </c>
      <c r="B1010" s="2" t="s">
        <v>410</v>
      </c>
      <c r="C1010" s="2" t="s">
        <v>627</v>
      </c>
      <c r="D1010" s="2" t="s">
        <v>402</v>
      </c>
      <c r="E1010" s="2" t="s">
        <v>168</v>
      </c>
    </row>
    <row r="1011" customFormat="false" ht="15" hidden="false" customHeight="false" outlineLevel="0" collapsed="false">
      <c r="A1011" s="2" t="s">
        <v>236</v>
      </c>
      <c r="B1011" s="2" t="s">
        <v>685</v>
      </c>
      <c r="C1011" s="2" t="s">
        <v>627</v>
      </c>
      <c r="D1011" s="2" t="s">
        <v>402</v>
      </c>
      <c r="E1011" s="2" t="s">
        <v>170</v>
      </c>
    </row>
    <row r="1012" customFormat="false" ht="15" hidden="false" customHeight="false" outlineLevel="0" collapsed="false">
      <c r="A1012" s="2" t="s">
        <v>236</v>
      </c>
      <c r="B1012" s="2" t="s">
        <v>686</v>
      </c>
      <c r="C1012" s="2" t="s">
        <v>628</v>
      </c>
      <c r="D1012" s="2" t="s">
        <v>687</v>
      </c>
      <c r="E1012" s="2" t="s">
        <v>166</v>
      </c>
    </row>
    <row r="1013" customFormat="false" ht="15" hidden="false" customHeight="false" outlineLevel="0" collapsed="false">
      <c r="A1013" s="2" t="s">
        <v>236</v>
      </c>
      <c r="B1013" s="2" t="s">
        <v>688</v>
      </c>
      <c r="C1013" s="2" t="s">
        <v>645</v>
      </c>
      <c r="D1013" s="2" t="s">
        <v>373</v>
      </c>
      <c r="E1013" s="2" t="s">
        <v>170</v>
      </c>
    </row>
    <row r="1014" customFormat="false" ht="15" hidden="false" customHeight="false" outlineLevel="0" collapsed="false">
      <c r="A1014" s="2" t="s">
        <v>236</v>
      </c>
      <c r="B1014" s="2" t="s">
        <v>709</v>
      </c>
      <c r="C1014" s="2" t="s">
        <v>645</v>
      </c>
      <c r="D1014" s="2" t="s">
        <v>710</v>
      </c>
      <c r="E1014" s="2" t="s">
        <v>167</v>
      </c>
    </row>
    <row r="1015" customFormat="false" ht="15" hidden="false" customHeight="false" outlineLevel="0" collapsed="false">
      <c r="A1015" s="2" t="s">
        <v>237</v>
      </c>
      <c r="B1015" s="2" t="s">
        <v>649</v>
      </c>
      <c r="C1015" s="2" t="s">
        <v>635</v>
      </c>
      <c r="D1015" s="2" t="s">
        <v>487</v>
      </c>
      <c r="E1015" s="2" t="s">
        <v>166</v>
      </c>
    </row>
    <row r="1016" customFormat="false" ht="15" hidden="false" customHeight="false" outlineLevel="0" collapsed="false">
      <c r="A1016" s="2" t="s">
        <v>237</v>
      </c>
      <c r="B1016" s="2" t="s">
        <v>650</v>
      </c>
      <c r="C1016" s="2" t="s">
        <v>635</v>
      </c>
      <c r="D1016" s="2" t="s">
        <v>651</v>
      </c>
      <c r="E1016" s="2" t="s">
        <v>169</v>
      </c>
    </row>
    <row r="1017" customFormat="false" ht="15" hidden="false" customHeight="false" outlineLevel="0" collapsed="false">
      <c r="A1017" s="2" t="s">
        <v>237</v>
      </c>
      <c r="B1017" s="2" t="s">
        <v>652</v>
      </c>
      <c r="C1017" s="2" t="s">
        <v>635</v>
      </c>
      <c r="D1017" s="2" t="s">
        <v>653</v>
      </c>
      <c r="E1017" s="2" t="s">
        <v>169</v>
      </c>
    </row>
    <row r="1018" customFormat="false" ht="15" hidden="false" customHeight="false" outlineLevel="0" collapsed="false">
      <c r="A1018" s="2" t="s">
        <v>237</v>
      </c>
      <c r="B1018" s="2" t="s">
        <v>654</v>
      </c>
      <c r="C1018" s="2" t="s">
        <v>635</v>
      </c>
      <c r="D1018" s="2" t="s">
        <v>655</v>
      </c>
      <c r="E1018" s="2" t="s">
        <v>169</v>
      </c>
    </row>
    <row r="1019" customFormat="false" ht="15" hidden="false" customHeight="false" outlineLevel="0" collapsed="false">
      <c r="A1019" s="2" t="s">
        <v>237</v>
      </c>
      <c r="B1019" s="2" t="s">
        <v>656</v>
      </c>
      <c r="C1019" s="2" t="s">
        <v>642</v>
      </c>
      <c r="D1019" s="2" t="s">
        <v>487</v>
      </c>
      <c r="E1019" s="2" t="s">
        <v>166</v>
      </c>
    </row>
    <row r="1020" customFormat="false" ht="15" hidden="false" customHeight="false" outlineLevel="0" collapsed="false">
      <c r="A1020" s="2" t="s">
        <v>237</v>
      </c>
      <c r="B1020" s="2" t="s">
        <v>320</v>
      </c>
      <c r="C1020" s="2" t="s">
        <v>642</v>
      </c>
      <c r="D1020" s="2" t="s">
        <v>657</v>
      </c>
      <c r="E1020" s="2" t="s">
        <v>169</v>
      </c>
    </row>
    <row r="1021" customFormat="false" ht="15" hidden="false" customHeight="false" outlineLevel="0" collapsed="false">
      <c r="A1021" s="2" t="s">
        <v>237</v>
      </c>
      <c r="B1021" s="2" t="s">
        <v>658</v>
      </c>
      <c r="C1021" s="2" t="s">
        <v>642</v>
      </c>
      <c r="D1021" s="2" t="s">
        <v>487</v>
      </c>
      <c r="E1021" s="2" t="s">
        <v>166</v>
      </c>
    </row>
    <row r="1022" customFormat="false" ht="15" hidden="false" customHeight="false" outlineLevel="0" collapsed="false">
      <c r="A1022" s="2" t="s">
        <v>237</v>
      </c>
      <c r="B1022" s="2" t="s">
        <v>324</v>
      </c>
      <c r="C1022" s="2" t="s">
        <v>642</v>
      </c>
      <c r="D1022" s="2" t="s">
        <v>610</v>
      </c>
      <c r="E1022" s="2" t="s">
        <v>166</v>
      </c>
    </row>
    <row r="1023" customFormat="false" ht="15" hidden="false" customHeight="false" outlineLevel="0" collapsed="false">
      <c r="A1023" s="2" t="s">
        <v>237</v>
      </c>
      <c r="B1023" s="2" t="s">
        <v>660</v>
      </c>
      <c r="C1023" s="2" t="s">
        <v>640</v>
      </c>
      <c r="D1023" s="2" t="s">
        <v>355</v>
      </c>
      <c r="E1023" s="2" t="s">
        <v>166</v>
      </c>
    </row>
    <row r="1024" customFormat="false" ht="15" hidden="false" customHeight="false" outlineLevel="0" collapsed="false">
      <c r="A1024" s="2" t="s">
        <v>237</v>
      </c>
      <c r="B1024" s="2" t="s">
        <v>661</v>
      </c>
      <c r="C1024" s="2" t="s">
        <v>641</v>
      </c>
      <c r="D1024" s="2" t="s">
        <v>355</v>
      </c>
      <c r="E1024" s="2" t="s">
        <v>166</v>
      </c>
    </row>
    <row r="1025" customFormat="false" ht="15" hidden="false" customHeight="false" outlineLevel="0" collapsed="false">
      <c r="A1025" s="2" t="s">
        <v>237</v>
      </c>
      <c r="B1025" s="2" t="s">
        <v>707</v>
      </c>
      <c r="C1025" s="2" t="s">
        <v>637</v>
      </c>
      <c r="D1025" s="2" t="s">
        <v>505</v>
      </c>
      <c r="E1025" s="2" t="s">
        <v>166</v>
      </c>
    </row>
    <row r="1026" customFormat="false" ht="15" hidden="false" customHeight="false" outlineLevel="0" collapsed="false">
      <c r="A1026" s="2" t="s">
        <v>237</v>
      </c>
      <c r="B1026" s="2" t="s">
        <v>716</v>
      </c>
      <c r="C1026" s="2" t="s">
        <v>512</v>
      </c>
      <c r="D1026" s="2" t="s">
        <v>510</v>
      </c>
      <c r="E1026" s="2" t="s">
        <v>166</v>
      </c>
    </row>
    <row r="1027" customFormat="false" ht="15" hidden="false" customHeight="false" outlineLevel="0" collapsed="false">
      <c r="A1027" s="2" t="s">
        <v>237</v>
      </c>
      <c r="B1027" s="2" t="s">
        <v>662</v>
      </c>
      <c r="C1027" s="2" t="s">
        <v>630</v>
      </c>
      <c r="D1027" s="2" t="s">
        <v>585</v>
      </c>
      <c r="E1027" s="2" t="s">
        <v>167</v>
      </c>
    </row>
    <row r="1028" customFormat="false" ht="15" hidden="false" customHeight="false" outlineLevel="0" collapsed="false">
      <c r="A1028" s="2" t="s">
        <v>237</v>
      </c>
      <c r="B1028" s="2" t="s">
        <v>663</v>
      </c>
      <c r="C1028" s="2" t="s">
        <v>631</v>
      </c>
      <c r="D1028" s="2" t="s">
        <v>664</v>
      </c>
      <c r="E1028" s="2" t="s">
        <v>166</v>
      </c>
    </row>
    <row r="1029" customFormat="false" ht="15" hidden="false" customHeight="false" outlineLevel="0" collapsed="false">
      <c r="A1029" s="2" t="s">
        <v>237</v>
      </c>
      <c r="B1029" s="2" t="s">
        <v>665</v>
      </c>
      <c r="C1029" s="2" t="s">
        <v>631</v>
      </c>
      <c r="D1029" s="2" t="s">
        <v>666</v>
      </c>
      <c r="E1029" s="2" t="s">
        <v>169</v>
      </c>
    </row>
    <row r="1030" customFormat="false" ht="15" hidden="false" customHeight="false" outlineLevel="0" collapsed="false">
      <c r="A1030" s="2" t="s">
        <v>237</v>
      </c>
      <c r="B1030" s="2" t="s">
        <v>667</v>
      </c>
      <c r="C1030" s="2" t="s">
        <v>638</v>
      </c>
      <c r="D1030" s="2" t="s">
        <v>668</v>
      </c>
      <c r="E1030" s="2" t="s">
        <v>166</v>
      </c>
    </row>
    <row r="1031" customFormat="false" ht="15" hidden="false" customHeight="false" outlineLevel="0" collapsed="false">
      <c r="A1031" s="2" t="s">
        <v>237</v>
      </c>
      <c r="B1031" s="2" t="s">
        <v>669</v>
      </c>
      <c r="C1031" s="2" t="s">
        <v>636</v>
      </c>
      <c r="D1031" s="2" t="s">
        <v>670</v>
      </c>
      <c r="E1031" s="2" t="s">
        <v>166</v>
      </c>
    </row>
    <row r="1032" customFormat="false" ht="15" hidden="false" customHeight="false" outlineLevel="0" collapsed="false">
      <c r="A1032" s="2" t="s">
        <v>237</v>
      </c>
      <c r="B1032" s="2" t="s">
        <v>671</v>
      </c>
      <c r="C1032" s="2" t="s">
        <v>632</v>
      </c>
      <c r="D1032" s="2" t="s">
        <v>712</v>
      </c>
      <c r="E1032" s="2" t="s">
        <v>166</v>
      </c>
    </row>
    <row r="1033" customFormat="false" ht="15" hidden="false" customHeight="false" outlineLevel="0" collapsed="false">
      <c r="A1033" s="2" t="s">
        <v>237</v>
      </c>
      <c r="B1033" s="2" t="s">
        <v>675</v>
      </c>
      <c r="C1033" s="2" t="s">
        <v>632</v>
      </c>
      <c r="D1033" s="2" t="s">
        <v>713</v>
      </c>
      <c r="E1033" s="2" t="s">
        <v>166</v>
      </c>
    </row>
    <row r="1034" customFormat="false" ht="15" hidden="false" customHeight="false" outlineLevel="0" collapsed="false">
      <c r="A1034" s="2" t="s">
        <v>237</v>
      </c>
      <c r="B1034" s="2" t="s">
        <v>412</v>
      </c>
      <c r="C1034" s="2" t="s">
        <v>632</v>
      </c>
      <c r="D1034" s="2" t="s">
        <v>713</v>
      </c>
      <c r="E1034" s="2" t="s">
        <v>166</v>
      </c>
    </row>
    <row r="1035" customFormat="false" ht="15" hidden="false" customHeight="false" outlineLevel="0" collapsed="false">
      <c r="A1035" s="2" t="s">
        <v>237</v>
      </c>
      <c r="B1035" s="2" t="s">
        <v>693</v>
      </c>
      <c r="C1035" s="2" t="s">
        <v>632</v>
      </c>
      <c r="D1035" s="2" t="s">
        <v>713</v>
      </c>
      <c r="E1035" s="2" t="s">
        <v>170</v>
      </c>
    </row>
    <row r="1036" customFormat="false" ht="15" hidden="false" customHeight="false" outlineLevel="0" collapsed="false">
      <c r="A1036" s="2" t="s">
        <v>237</v>
      </c>
      <c r="B1036" s="2" t="s">
        <v>694</v>
      </c>
      <c r="C1036" s="2" t="s">
        <v>633</v>
      </c>
      <c r="D1036" s="2" t="s">
        <v>714</v>
      </c>
      <c r="E1036" s="2" t="s">
        <v>166</v>
      </c>
    </row>
    <row r="1037" customFormat="false" ht="15" hidden="false" customHeight="false" outlineLevel="0" collapsed="false">
      <c r="A1037" s="2" t="s">
        <v>237</v>
      </c>
      <c r="B1037" s="2" t="s">
        <v>678</v>
      </c>
      <c r="C1037" s="2" t="s">
        <v>634</v>
      </c>
      <c r="D1037" s="2" t="s">
        <v>679</v>
      </c>
      <c r="E1037" s="2" t="s">
        <v>166</v>
      </c>
    </row>
    <row r="1038" customFormat="false" ht="15" hidden="false" customHeight="false" outlineLevel="0" collapsed="false">
      <c r="A1038" s="2" t="s">
        <v>237</v>
      </c>
      <c r="B1038" s="2" t="s">
        <v>680</v>
      </c>
      <c r="C1038" s="2" t="s">
        <v>629</v>
      </c>
      <c r="D1038" s="2" t="s">
        <v>681</v>
      </c>
      <c r="E1038" s="2" t="s">
        <v>169</v>
      </c>
    </row>
    <row r="1039" customFormat="false" ht="15" hidden="false" customHeight="false" outlineLevel="0" collapsed="false">
      <c r="A1039" s="2" t="s">
        <v>237</v>
      </c>
      <c r="B1039" s="2" t="s">
        <v>370</v>
      </c>
      <c r="C1039" s="2" t="s">
        <v>627</v>
      </c>
      <c r="D1039" s="2" t="s">
        <v>682</v>
      </c>
      <c r="E1039" s="2" t="s">
        <v>166</v>
      </c>
    </row>
    <row r="1040" customFormat="false" ht="15" hidden="false" customHeight="false" outlineLevel="0" collapsed="false">
      <c r="A1040" s="2" t="s">
        <v>237</v>
      </c>
      <c r="B1040" s="2" t="s">
        <v>684</v>
      </c>
      <c r="C1040" s="2" t="s">
        <v>627</v>
      </c>
      <c r="D1040" s="2" t="s">
        <v>402</v>
      </c>
      <c r="E1040" s="2" t="s">
        <v>168</v>
      </c>
    </row>
    <row r="1041" customFormat="false" ht="15" hidden="false" customHeight="false" outlineLevel="0" collapsed="false">
      <c r="A1041" s="2" t="s">
        <v>237</v>
      </c>
      <c r="B1041" s="2" t="s">
        <v>410</v>
      </c>
      <c r="C1041" s="2" t="s">
        <v>627</v>
      </c>
      <c r="D1041" s="2" t="s">
        <v>402</v>
      </c>
      <c r="E1041" s="2" t="s">
        <v>168</v>
      </c>
    </row>
    <row r="1042" customFormat="false" ht="15" hidden="false" customHeight="false" outlineLevel="0" collapsed="false">
      <c r="A1042" s="2" t="s">
        <v>237</v>
      </c>
      <c r="B1042" s="2" t="s">
        <v>685</v>
      </c>
      <c r="C1042" s="2" t="s">
        <v>627</v>
      </c>
      <c r="D1042" s="2" t="s">
        <v>402</v>
      </c>
      <c r="E1042" s="2" t="s">
        <v>170</v>
      </c>
    </row>
    <row r="1043" customFormat="false" ht="15" hidden="false" customHeight="false" outlineLevel="0" collapsed="false">
      <c r="A1043" s="2" t="s">
        <v>237</v>
      </c>
      <c r="B1043" s="2" t="s">
        <v>686</v>
      </c>
      <c r="C1043" s="2" t="s">
        <v>628</v>
      </c>
      <c r="D1043" s="2" t="s">
        <v>687</v>
      </c>
      <c r="E1043" s="2" t="s">
        <v>166</v>
      </c>
    </row>
    <row r="1044" customFormat="false" ht="15" hidden="false" customHeight="false" outlineLevel="0" collapsed="false">
      <c r="A1044" s="2" t="s">
        <v>237</v>
      </c>
      <c r="B1044" s="2" t="s">
        <v>705</v>
      </c>
      <c r="C1044" s="2" t="s">
        <v>639</v>
      </c>
      <c r="D1044" s="2" t="s">
        <v>598</v>
      </c>
      <c r="E1044" s="2" t="s">
        <v>170</v>
      </c>
    </row>
    <row r="1045" customFormat="false" ht="15" hidden="false" customHeight="false" outlineLevel="0" collapsed="false">
      <c r="A1045" s="2" t="s">
        <v>237</v>
      </c>
      <c r="B1045" s="2" t="s">
        <v>705</v>
      </c>
      <c r="C1045" s="2" t="s">
        <v>639</v>
      </c>
      <c r="D1045" s="2" t="s">
        <v>598</v>
      </c>
      <c r="E1045" s="2" t="s">
        <v>170</v>
      </c>
    </row>
    <row r="1046" customFormat="false" ht="15" hidden="false" customHeight="false" outlineLevel="0" collapsed="false">
      <c r="A1046" s="2" t="s">
        <v>237</v>
      </c>
      <c r="B1046" s="2" t="s">
        <v>688</v>
      </c>
      <c r="C1046" s="2" t="s">
        <v>645</v>
      </c>
      <c r="D1046" s="2" t="s">
        <v>373</v>
      </c>
      <c r="E1046" s="2" t="s">
        <v>170</v>
      </c>
    </row>
    <row r="1047" customFormat="false" ht="15" hidden="false" customHeight="false" outlineLevel="0" collapsed="false">
      <c r="A1047" s="2" t="s">
        <v>237</v>
      </c>
      <c r="B1047" s="2" t="s">
        <v>689</v>
      </c>
      <c r="C1047" s="2" t="s">
        <v>645</v>
      </c>
      <c r="D1047" s="2" t="s">
        <v>690</v>
      </c>
      <c r="E1047" s="2" t="s">
        <v>167</v>
      </c>
    </row>
    <row r="1048" customFormat="false" ht="15" hidden="false" customHeight="false" outlineLevel="0" collapsed="false">
      <c r="A1048" s="2" t="s">
        <v>237</v>
      </c>
      <c r="B1048" s="2" t="s">
        <v>691</v>
      </c>
      <c r="C1048" s="2" t="s">
        <v>645</v>
      </c>
      <c r="D1048" s="2" t="s">
        <v>690</v>
      </c>
      <c r="E1048" s="2" t="s">
        <v>167</v>
      </c>
    </row>
    <row r="1049" customFormat="false" ht="15" hidden="false" customHeight="false" outlineLevel="0" collapsed="false">
      <c r="A1049" s="2" t="s">
        <v>239</v>
      </c>
      <c r="B1049" s="2" t="s">
        <v>649</v>
      </c>
      <c r="C1049" s="2" t="s">
        <v>635</v>
      </c>
      <c r="D1049" s="2" t="s">
        <v>487</v>
      </c>
      <c r="E1049" s="2" t="s">
        <v>166</v>
      </c>
    </row>
    <row r="1050" customFormat="false" ht="15" hidden="false" customHeight="false" outlineLevel="0" collapsed="false">
      <c r="A1050" s="2" t="s">
        <v>239</v>
      </c>
      <c r="B1050" s="2" t="s">
        <v>650</v>
      </c>
      <c r="C1050" s="2" t="s">
        <v>635</v>
      </c>
      <c r="D1050" s="2" t="s">
        <v>651</v>
      </c>
      <c r="E1050" s="2" t="s">
        <v>169</v>
      </c>
    </row>
    <row r="1051" customFormat="false" ht="15" hidden="false" customHeight="false" outlineLevel="0" collapsed="false">
      <c r="A1051" s="2" t="s">
        <v>239</v>
      </c>
      <c r="B1051" s="2" t="s">
        <v>652</v>
      </c>
      <c r="C1051" s="2" t="s">
        <v>635</v>
      </c>
      <c r="D1051" s="2" t="s">
        <v>653</v>
      </c>
      <c r="E1051" s="2" t="s">
        <v>169</v>
      </c>
    </row>
    <row r="1052" customFormat="false" ht="15" hidden="false" customHeight="false" outlineLevel="0" collapsed="false">
      <c r="A1052" s="2" t="s">
        <v>239</v>
      </c>
      <c r="B1052" s="2" t="s">
        <v>654</v>
      </c>
      <c r="C1052" s="2" t="s">
        <v>635</v>
      </c>
      <c r="D1052" s="2" t="s">
        <v>655</v>
      </c>
      <c r="E1052" s="2" t="s">
        <v>169</v>
      </c>
    </row>
    <row r="1053" customFormat="false" ht="15" hidden="false" customHeight="false" outlineLevel="0" collapsed="false">
      <c r="A1053" s="2" t="s">
        <v>239</v>
      </c>
      <c r="B1053" s="2" t="s">
        <v>656</v>
      </c>
      <c r="C1053" s="2" t="s">
        <v>642</v>
      </c>
      <c r="D1053" s="2" t="s">
        <v>487</v>
      </c>
      <c r="E1053" s="2" t="s">
        <v>166</v>
      </c>
    </row>
    <row r="1054" customFormat="false" ht="15" hidden="false" customHeight="false" outlineLevel="0" collapsed="false">
      <c r="A1054" s="2" t="s">
        <v>239</v>
      </c>
      <c r="B1054" s="2" t="s">
        <v>320</v>
      </c>
      <c r="C1054" s="2" t="s">
        <v>642</v>
      </c>
      <c r="D1054" s="2" t="s">
        <v>657</v>
      </c>
      <c r="E1054" s="2" t="s">
        <v>169</v>
      </c>
    </row>
    <row r="1055" customFormat="false" ht="15" hidden="false" customHeight="false" outlineLevel="0" collapsed="false">
      <c r="A1055" s="2" t="s">
        <v>239</v>
      </c>
      <c r="B1055" s="2" t="s">
        <v>658</v>
      </c>
      <c r="C1055" s="2" t="s">
        <v>642</v>
      </c>
      <c r="D1055" s="2" t="s">
        <v>487</v>
      </c>
      <c r="E1055" s="2" t="s">
        <v>166</v>
      </c>
    </row>
    <row r="1056" customFormat="false" ht="15" hidden="false" customHeight="false" outlineLevel="0" collapsed="false">
      <c r="A1056" s="2" t="s">
        <v>239</v>
      </c>
      <c r="B1056" s="2" t="s">
        <v>324</v>
      </c>
      <c r="C1056" s="2" t="s">
        <v>642</v>
      </c>
      <c r="D1056" s="2" t="s">
        <v>610</v>
      </c>
      <c r="E1056" s="2" t="s">
        <v>166</v>
      </c>
    </row>
    <row r="1057" customFormat="false" ht="15" hidden="false" customHeight="false" outlineLevel="0" collapsed="false">
      <c r="A1057" s="2" t="s">
        <v>239</v>
      </c>
      <c r="B1057" s="2" t="s">
        <v>660</v>
      </c>
      <c r="C1057" s="2" t="s">
        <v>640</v>
      </c>
      <c r="D1057" s="2" t="s">
        <v>355</v>
      </c>
      <c r="E1057" s="2" t="s">
        <v>166</v>
      </c>
    </row>
    <row r="1058" customFormat="false" ht="15" hidden="false" customHeight="false" outlineLevel="0" collapsed="false">
      <c r="A1058" s="2" t="s">
        <v>239</v>
      </c>
      <c r="B1058" s="2" t="s">
        <v>661</v>
      </c>
      <c r="C1058" s="2" t="s">
        <v>641</v>
      </c>
      <c r="D1058" s="2" t="s">
        <v>355</v>
      </c>
      <c r="E1058" s="2" t="s">
        <v>166</v>
      </c>
    </row>
    <row r="1059" customFormat="false" ht="15" hidden="false" customHeight="false" outlineLevel="0" collapsed="false">
      <c r="A1059" s="2" t="s">
        <v>239</v>
      </c>
      <c r="B1059" s="2" t="s">
        <v>662</v>
      </c>
      <c r="C1059" s="2" t="s">
        <v>630</v>
      </c>
      <c r="D1059" s="2" t="s">
        <v>585</v>
      </c>
      <c r="E1059" s="2" t="s">
        <v>167</v>
      </c>
    </row>
    <row r="1060" customFormat="false" ht="15" hidden="false" customHeight="false" outlineLevel="0" collapsed="false">
      <c r="A1060" s="2" t="s">
        <v>239</v>
      </c>
      <c r="B1060" s="2" t="s">
        <v>667</v>
      </c>
      <c r="C1060" s="2" t="s">
        <v>638</v>
      </c>
      <c r="D1060" s="2" t="s">
        <v>668</v>
      </c>
      <c r="E1060" s="2" t="s">
        <v>166</v>
      </c>
    </row>
    <row r="1061" customFormat="false" ht="15" hidden="false" customHeight="false" outlineLevel="0" collapsed="false">
      <c r="A1061" s="2" t="s">
        <v>239</v>
      </c>
      <c r="B1061" s="2" t="s">
        <v>669</v>
      </c>
      <c r="C1061" s="2" t="s">
        <v>636</v>
      </c>
      <c r="D1061" s="2" t="s">
        <v>670</v>
      </c>
      <c r="E1061" s="2" t="s">
        <v>166</v>
      </c>
    </row>
    <row r="1062" customFormat="false" ht="15" hidden="false" customHeight="false" outlineLevel="0" collapsed="false">
      <c r="A1062" s="2" t="s">
        <v>239</v>
      </c>
      <c r="B1062" s="2" t="s">
        <v>700</v>
      </c>
      <c r="C1062" s="2" t="s">
        <v>558</v>
      </c>
      <c r="D1062" s="2" t="s">
        <v>701</v>
      </c>
      <c r="E1062" s="2" t="s">
        <v>166</v>
      </c>
    </row>
    <row r="1063" customFormat="false" ht="15" hidden="false" customHeight="false" outlineLevel="0" collapsed="false">
      <c r="A1063" s="2" t="s">
        <v>239</v>
      </c>
      <c r="B1063" s="2" t="s">
        <v>671</v>
      </c>
      <c r="C1063" s="2" t="s">
        <v>632</v>
      </c>
      <c r="D1063" s="2" t="s">
        <v>672</v>
      </c>
      <c r="E1063" s="2" t="s">
        <v>166</v>
      </c>
    </row>
    <row r="1064" customFormat="false" ht="15" hidden="false" customHeight="false" outlineLevel="0" collapsed="false">
      <c r="A1064" s="2" t="s">
        <v>239</v>
      </c>
      <c r="B1064" s="2" t="s">
        <v>675</v>
      </c>
      <c r="C1064" s="2" t="s">
        <v>632</v>
      </c>
      <c r="D1064" s="2" t="s">
        <v>523</v>
      </c>
      <c r="E1064" s="2" t="s">
        <v>168</v>
      </c>
    </row>
    <row r="1065" customFormat="false" ht="15" hidden="false" customHeight="false" outlineLevel="0" collapsed="false">
      <c r="A1065" s="2" t="s">
        <v>239</v>
      </c>
      <c r="B1065" s="2" t="s">
        <v>412</v>
      </c>
      <c r="C1065" s="2" t="s">
        <v>632</v>
      </c>
      <c r="D1065" s="2" t="s">
        <v>523</v>
      </c>
      <c r="E1065" s="2" t="s">
        <v>168</v>
      </c>
    </row>
    <row r="1066" customFormat="false" ht="15" hidden="false" customHeight="false" outlineLevel="0" collapsed="false">
      <c r="A1066" s="2" t="s">
        <v>239</v>
      </c>
      <c r="B1066" s="2" t="s">
        <v>693</v>
      </c>
      <c r="C1066" s="2" t="s">
        <v>632</v>
      </c>
      <c r="D1066" s="2" t="s">
        <v>523</v>
      </c>
      <c r="E1066" s="2" t="s">
        <v>170</v>
      </c>
    </row>
    <row r="1067" customFormat="false" ht="15" hidden="false" customHeight="false" outlineLevel="0" collapsed="false">
      <c r="A1067" s="2" t="s">
        <v>239</v>
      </c>
      <c r="B1067" s="2" t="s">
        <v>694</v>
      </c>
      <c r="C1067" s="2" t="s">
        <v>633</v>
      </c>
      <c r="D1067" s="2" t="s">
        <v>677</v>
      </c>
      <c r="E1067" s="2" t="s">
        <v>166</v>
      </c>
    </row>
    <row r="1068" customFormat="false" ht="15" hidden="false" customHeight="false" outlineLevel="0" collapsed="false">
      <c r="A1068" s="2" t="s">
        <v>239</v>
      </c>
      <c r="B1068" s="2" t="s">
        <v>678</v>
      </c>
      <c r="C1068" s="2" t="s">
        <v>634</v>
      </c>
      <c r="D1068" s="2" t="s">
        <v>679</v>
      </c>
      <c r="E1068" s="2" t="s">
        <v>166</v>
      </c>
    </row>
    <row r="1069" customFormat="false" ht="15" hidden="false" customHeight="false" outlineLevel="0" collapsed="false">
      <c r="A1069" s="2" t="s">
        <v>239</v>
      </c>
      <c r="B1069" s="2" t="s">
        <v>680</v>
      </c>
      <c r="C1069" s="2" t="s">
        <v>629</v>
      </c>
      <c r="D1069" s="2" t="s">
        <v>703</v>
      </c>
      <c r="E1069" s="2" t="s">
        <v>166</v>
      </c>
    </row>
    <row r="1070" customFormat="false" ht="15" hidden="false" customHeight="false" outlineLevel="0" collapsed="false">
      <c r="A1070" s="2" t="s">
        <v>239</v>
      </c>
      <c r="B1070" s="2" t="s">
        <v>370</v>
      </c>
      <c r="C1070" s="2" t="s">
        <v>627</v>
      </c>
      <c r="D1070" s="2" t="s">
        <v>682</v>
      </c>
      <c r="E1070" s="2" t="s">
        <v>166</v>
      </c>
    </row>
    <row r="1071" customFormat="false" ht="15" hidden="false" customHeight="false" outlineLevel="0" collapsed="false">
      <c r="A1071" s="2" t="s">
        <v>239</v>
      </c>
      <c r="B1071" s="2" t="s">
        <v>696</v>
      </c>
      <c r="C1071" s="2" t="s">
        <v>627</v>
      </c>
      <c r="D1071" s="2" t="s">
        <v>402</v>
      </c>
      <c r="E1071" s="2" t="s">
        <v>168</v>
      </c>
    </row>
    <row r="1072" customFormat="false" ht="15" hidden="false" customHeight="false" outlineLevel="0" collapsed="false">
      <c r="A1072" s="2" t="s">
        <v>239</v>
      </c>
      <c r="B1072" s="2" t="s">
        <v>697</v>
      </c>
      <c r="C1072" s="2" t="s">
        <v>627</v>
      </c>
      <c r="D1072" s="2" t="s">
        <v>402</v>
      </c>
      <c r="E1072" s="2" t="s">
        <v>168</v>
      </c>
    </row>
    <row r="1073" customFormat="false" ht="15" hidden="false" customHeight="false" outlineLevel="0" collapsed="false">
      <c r="A1073" s="2" t="s">
        <v>239</v>
      </c>
      <c r="B1073" s="2" t="s">
        <v>683</v>
      </c>
      <c r="C1073" s="2" t="s">
        <v>627</v>
      </c>
      <c r="D1073" s="2" t="s">
        <v>402</v>
      </c>
      <c r="E1073" s="2" t="s">
        <v>168</v>
      </c>
    </row>
    <row r="1074" customFormat="false" ht="15" hidden="false" customHeight="false" outlineLevel="0" collapsed="false">
      <c r="A1074" s="2" t="s">
        <v>239</v>
      </c>
      <c r="B1074" s="2" t="s">
        <v>684</v>
      </c>
      <c r="C1074" s="2" t="s">
        <v>627</v>
      </c>
      <c r="D1074" s="2" t="s">
        <v>402</v>
      </c>
      <c r="E1074" s="2" t="s">
        <v>168</v>
      </c>
    </row>
    <row r="1075" customFormat="false" ht="15" hidden="false" customHeight="false" outlineLevel="0" collapsed="false">
      <c r="A1075" s="2" t="s">
        <v>239</v>
      </c>
      <c r="B1075" s="2" t="s">
        <v>410</v>
      </c>
      <c r="C1075" s="2" t="s">
        <v>627</v>
      </c>
      <c r="D1075" s="2" t="s">
        <v>402</v>
      </c>
      <c r="E1075" s="2" t="s">
        <v>168</v>
      </c>
    </row>
    <row r="1076" customFormat="false" ht="15" hidden="false" customHeight="false" outlineLevel="0" collapsed="false">
      <c r="A1076" s="2" t="s">
        <v>239</v>
      </c>
      <c r="B1076" s="2" t="s">
        <v>686</v>
      </c>
      <c r="C1076" s="2" t="s">
        <v>628</v>
      </c>
      <c r="D1076" s="2" t="s">
        <v>687</v>
      </c>
      <c r="E1076" s="2" t="s">
        <v>166</v>
      </c>
    </row>
    <row r="1077" customFormat="false" ht="15" hidden="false" customHeight="false" outlineLevel="0" collapsed="false">
      <c r="A1077" s="2" t="s">
        <v>239</v>
      </c>
      <c r="B1077" s="2" t="s">
        <v>688</v>
      </c>
      <c r="C1077" s="2" t="s">
        <v>645</v>
      </c>
      <c r="D1077" s="2" t="s">
        <v>373</v>
      </c>
      <c r="E1077" s="2" t="s">
        <v>170</v>
      </c>
    </row>
    <row r="1078" customFormat="false" ht="15" hidden="false" customHeight="false" outlineLevel="0" collapsed="false">
      <c r="A1078" s="2" t="s">
        <v>240</v>
      </c>
      <c r="B1078" s="2" t="s">
        <v>649</v>
      </c>
      <c r="C1078" s="2" t="s">
        <v>635</v>
      </c>
      <c r="D1078" s="2" t="s">
        <v>487</v>
      </c>
      <c r="E1078" s="2" t="s">
        <v>166</v>
      </c>
    </row>
    <row r="1079" customFormat="false" ht="15" hidden="false" customHeight="false" outlineLevel="0" collapsed="false">
      <c r="A1079" s="2" t="s">
        <v>240</v>
      </c>
      <c r="B1079" s="2" t="s">
        <v>650</v>
      </c>
      <c r="C1079" s="2" t="s">
        <v>635</v>
      </c>
      <c r="D1079" s="2" t="s">
        <v>651</v>
      </c>
      <c r="E1079" s="2" t="s">
        <v>169</v>
      </c>
    </row>
    <row r="1080" customFormat="false" ht="15" hidden="false" customHeight="false" outlineLevel="0" collapsed="false">
      <c r="A1080" s="2" t="s">
        <v>240</v>
      </c>
      <c r="B1080" s="2" t="s">
        <v>652</v>
      </c>
      <c r="C1080" s="2" t="s">
        <v>635</v>
      </c>
      <c r="D1080" s="2" t="s">
        <v>653</v>
      </c>
      <c r="E1080" s="2" t="s">
        <v>169</v>
      </c>
    </row>
    <row r="1081" customFormat="false" ht="15" hidden="false" customHeight="false" outlineLevel="0" collapsed="false">
      <c r="A1081" s="2" t="s">
        <v>240</v>
      </c>
      <c r="B1081" s="2" t="s">
        <v>654</v>
      </c>
      <c r="C1081" s="2" t="s">
        <v>635</v>
      </c>
      <c r="D1081" s="2" t="s">
        <v>655</v>
      </c>
      <c r="E1081" s="2" t="s">
        <v>169</v>
      </c>
    </row>
    <row r="1082" customFormat="false" ht="15" hidden="false" customHeight="false" outlineLevel="0" collapsed="false">
      <c r="A1082" s="2" t="s">
        <v>240</v>
      </c>
      <c r="B1082" s="2" t="s">
        <v>656</v>
      </c>
      <c r="C1082" s="2" t="s">
        <v>642</v>
      </c>
      <c r="D1082" s="2" t="s">
        <v>487</v>
      </c>
      <c r="E1082" s="2" t="s">
        <v>166</v>
      </c>
    </row>
    <row r="1083" customFormat="false" ht="15" hidden="false" customHeight="false" outlineLevel="0" collapsed="false">
      <c r="A1083" s="2" t="s">
        <v>240</v>
      </c>
      <c r="B1083" s="2" t="s">
        <v>320</v>
      </c>
      <c r="C1083" s="2" t="s">
        <v>642</v>
      </c>
      <c r="D1083" s="2" t="s">
        <v>657</v>
      </c>
      <c r="E1083" s="2" t="s">
        <v>169</v>
      </c>
    </row>
    <row r="1084" customFormat="false" ht="15" hidden="false" customHeight="false" outlineLevel="0" collapsed="false">
      <c r="A1084" s="2" t="s">
        <v>240</v>
      </c>
      <c r="B1084" s="2" t="s">
        <v>658</v>
      </c>
      <c r="C1084" s="2" t="s">
        <v>642</v>
      </c>
      <c r="D1084" s="2" t="s">
        <v>487</v>
      </c>
      <c r="E1084" s="2" t="s">
        <v>166</v>
      </c>
    </row>
    <row r="1085" customFormat="false" ht="15" hidden="false" customHeight="false" outlineLevel="0" collapsed="false">
      <c r="A1085" s="2" t="s">
        <v>240</v>
      </c>
      <c r="B1085" s="2" t="s">
        <v>324</v>
      </c>
      <c r="C1085" s="2" t="s">
        <v>642</v>
      </c>
      <c r="D1085" s="2" t="s">
        <v>659</v>
      </c>
      <c r="E1085" s="2" t="s">
        <v>169</v>
      </c>
    </row>
    <row r="1086" customFormat="false" ht="15" hidden="false" customHeight="false" outlineLevel="0" collapsed="false">
      <c r="A1086" s="2" t="s">
        <v>240</v>
      </c>
      <c r="B1086" s="2" t="s">
        <v>660</v>
      </c>
      <c r="C1086" s="2" t="s">
        <v>640</v>
      </c>
      <c r="D1086" s="2" t="s">
        <v>355</v>
      </c>
      <c r="E1086" s="2" t="s">
        <v>166</v>
      </c>
    </row>
    <row r="1087" customFormat="false" ht="15" hidden="false" customHeight="false" outlineLevel="0" collapsed="false">
      <c r="A1087" s="2" t="s">
        <v>240</v>
      </c>
      <c r="B1087" s="2" t="s">
        <v>661</v>
      </c>
      <c r="C1087" s="2" t="s">
        <v>641</v>
      </c>
      <c r="D1087" s="2" t="s">
        <v>355</v>
      </c>
      <c r="E1087" s="2" t="s">
        <v>166</v>
      </c>
    </row>
    <row r="1088" customFormat="false" ht="15" hidden="false" customHeight="false" outlineLevel="0" collapsed="false">
      <c r="A1088" s="2" t="s">
        <v>240</v>
      </c>
      <c r="B1088" s="2" t="s">
        <v>662</v>
      </c>
      <c r="C1088" s="2" t="s">
        <v>630</v>
      </c>
      <c r="D1088" s="2" t="s">
        <v>585</v>
      </c>
      <c r="E1088" s="2" t="s">
        <v>167</v>
      </c>
    </row>
    <row r="1089" customFormat="false" ht="15" hidden="false" customHeight="false" outlineLevel="0" collapsed="false">
      <c r="A1089" s="2" t="s">
        <v>240</v>
      </c>
      <c r="B1089" s="2" t="s">
        <v>663</v>
      </c>
      <c r="C1089" s="2" t="s">
        <v>631</v>
      </c>
      <c r="D1089" s="2" t="s">
        <v>664</v>
      </c>
      <c r="E1089" s="2" t="s">
        <v>166</v>
      </c>
    </row>
    <row r="1090" customFormat="false" ht="15" hidden="false" customHeight="false" outlineLevel="0" collapsed="false">
      <c r="A1090" s="2" t="s">
        <v>240</v>
      </c>
      <c r="B1090" s="2" t="s">
        <v>665</v>
      </c>
      <c r="C1090" s="2" t="s">
        <v>631</v>
      </c>
      <c r="D1090" s="2" t="s">
        <v>666</v>
      </c>
      <c r="E1090" s="2" t="s">
        <v>169</v>
      </c>
    </row>
    <row r="1091" customFormat="false" ht="15" hidden="false" customHeight="false" outlineLevel="0" collapsed="false">
      <c r="A1091" s="2" t="s">
        <v>240</v>
      </c>
      <c r="B1091" s="2" t="s">
        <v>667</v>
      </c>
      <c r="C1091" s="2" t="s">
        <v>638</v>
      </c>
      <c r="D1091" s="2" t="s">
        <v>668</v>
      </c>
      <c r="E1091" s="2" t="s">
        <v>166</v>
      </c>
    </row>
    <row r="1092" customFormat="false" ht="15" hidden="false" customHeight="false" outlineLevel="0" collapsed="false">
      <c r="A1092" s="2" t="s">
        <v>240</v>
      </c>
      <c r="B1092" s="2" t="s">
        <v>669</v>
      </c>
      <c r="C1092" s="2" t="s">
        <v>636</v>
      </c>
      <c r="D1092" s="2" t="s">
        <v>670</v>
      </c>
      <c r="E1092" s="2" t="s">
        <v>166</v>
      </c>
    </row>
    <row r="1093" customFormat="false" ht="15" hidden="false" customHeight="false" outlineLevel="0" collapsed="false">
      <c r="A1093" s="2" t="s">
        <v>240</v>
      </c>
      <c r="B1093" s="2" t="s">
        <v>700</v>
      </c>
      <c r="C1093" s="2" t="s">
        <v>558</v>
      </c>
      <c r="D1093" s="2" t="s">
        <v>701</v>
      </c>
      <c r="E1093" s="2" t="s">
        <v>166</v>
      </c>
    </row>
    <row r="1094" customFormat="false" ht="15" hidden="false" customHeight="false" outlineLevel="0" collapsed="false">
      <c r="A1094" s="2" t="s">
        <v>240</v>
      </c>
      <c r="B1094" s="2" t="s">
        <v>671</v>
      </c>
      <c r="C1094" s="2" t="s">
        <v>632</v>
      </c>
      <c r="D1094" s="2" t="s">
        <v>712</v>
      </c>
      <c r="E1094" s="2" t="s">
        <v>166</v>
      </c>
    </row>
    <row r="1095" customFormat="false" ht="15" hidden="false" customHeight="false" outlineLevel="0" collapsed="false">
      <c r="A1095" s="2" t="s">
        <v>240</v>
      </c>
      <c r="B1095" s="2" t="s">
        <v>675</v>
      </c>
      <c r="C1095" s="2" t="s">
        <v>632</v>
      </c>
      <c r="D1095" s="2" t="s">
        <v>713</v>
      </c>
      <c r="E1095" s="2" t="s">
        <v>166</v>
      </c>
    </row>
    <row r="1096" customFormat="false" ht="15" hidden="false" customHeight="false" outlineLevel="0" collapsed="false">
      <c r="A1096" s="2" t="s">
        <v>240</v>
      </c>
      <c r="B1096" s="2" t="s">
        <v>412</v>
      </c>
      <c r="C1096" s="2" t="s">
        <v>632</v>
      </c>
      <c r="D1096" s="2" t="s">
        <v>713</v>
      </c>
      <c r="E1096" s="2" t="s">
        <v>166</v>
      </c>
    </row>
    <row r="1097" customFormat="false" ht="15" hidden="false" customHeight="false" outlineLevel="0" collapsed="false">
      <c r="A1097" s="2" t="s">
        <v>240</v>
      </c>
      <c r="B1097" s="2" t="s">
        <v>693</v>
      </c>
      <c r="C1097" s="2" t="s">
        <v>632</v>
      </c>
      <c r="D1097" s="2" t="s">
        <v>713</v>
      </c>
      <c r="E1097" s="2" t="s">
        <v>170</v>
      </c>
    </row>
    <row r="1098" customFormat="false" ht="15" hidden="false" customHeight="false" outlineLevel="0" collapsed="false">
      <c r="A1098" s="2" t="s">
        <v>240</v>
      </c>
      <c r="B1098" s="2" t="s">
        <v>694</v>
      </c>
      <c r="C1098" s="2" t="s">
        <v>633</v>
      </c>
      <c r="D1098" s="2" t="s">
        <v>714</v>
      </c>
      <c r="E1098" s="2" t="s">
        <v>166</v>
      </c>
    </row>
    <row r="1099" customFormat="false" ht="15" hidden="false" customHeight="false" outlineLevel="0" collapsed="false">
      <c r="A1099" s="2" t="s">
        <v>240</v>
      </c>
      <c r="B1099" s="2" t="s">
        <v>678</v>
      </c>
      <c r="C1099" s="2" t="s">
        <v>634</v>
      </c>
      <c r="D1099" s="2" t="s">
        <v>679</v>
      </c>
      <c r="E1099" s="2" t="s">
        <v>166</v>
      </c>
    </row>
    <row r="1100" customFormat="false" ht="15" hidden="false" customHeight="false" outlineLevel="0" collapsed="false">
      <c r="A1100" s="2" t="s">
        <v>240</v>
      </c>
      <c r="B1100" s="2" t="s">
        <v>680</v>
      </c>
      <c r="C1100" s="2" t="s">
        <v>629</v>
      </c>
      <c r="D1100" s="2" t="s">
        <v>681</v>
      </c>
      <c r="E1100" s="2" t="s">
        <v>169</v>
      </c>
    </row>
    <row r="1101" customFormat="false" ht="15" hidden="false" customHeight="false" outlineLevel="0" collapsed="false">
      <c r="A1101" s="2" t="s">
        <v>240</v>
      </c>
      <c r="B1101" s="2" t="s">
        <v>370</v>
      </c>
      <c r="C1101" s="2" t="s">
        <v>627</v>
      </c>
      <c r="D1101" s="2" t="s">
        <v>682</v>
      </c>
      <c r="E1101" s="2" t="s">
        <v>166</v>
      </c>
    </row>
    <row r="1102" customFormat="false" ht="15" hidden="false" customHeight="false" outlineLevel="0" collapsed="false">
      <c r="A1102" s="2" t="s">
        <v>240</v>
      </c>
      <c r="B1102" s="2" t="s">
        <v>696</v>
      </c>
      <c r="C1102" s="2" t="s">
        <v>627</v>
      </c>
      <c r="D1102" s="2" t="s">
        <v>402</v>
      </c>
      <c r="E1102" s="2" t="s">
        <v>168</v>
      </c>
    </row>
    <row r="1103" customFormat="false" ht="15" hidden="false" customHeight="false" outlineLevel="0" collapsed="false">
      <c r="A1103" s="2" t="s">
        <v>240</v>
      </c>
      <c r="B1103" s="2" t="s">
        <v>697</v>
      </c>
      <c r="C1103" s="2" t="s">
        <v>627</v>
      </c>
      <c r="D1103" s="2" t="s">
        <v>402</v>
      </c>
      <c r="E1103" s="2" t="s">
        <v>168</v>
      </c>
    </row>
    <row r="1104" customFormat="false" ht="15" hidden="false" customHeight="false" outlineLevel="0" collapsed="false">
      <c r="A1104" s="2" t="s">
        <v>240</v>
      </c>
      <c r="B1104" s="2" t="s">
        <v>683</v>
      </c>
      <c r="C1104" s="2" t="s">
        <v>627</v>
      </c>
      <c r="D1104" s="2" t="s">
        <v>402</v>
      </c>
      <c r="E1104" s="2" t="s">
        <v>168</v>
      </c>
    </row>
    <row r="1105" customFormat="false" ht="15" hidden="false" customHeight="false" outlineLevel="0" collapsed="false">
      <c r="A1105" s="2" t="s">
        <v>240</v>
      </c>
      <c r="B1105" s="2" t="s">
        <v>684</v>
      </c>
      <c r="C1105" s="2" t="s">
        <v>627</v>
      </c>
      <c r="D1105" s="2" t="s">
        <v>402</v>
      </c>
      <c r="E1105" s="2" t="s">
        <v>168</v>
      </c>
    </row>
    <row r="1106" customFormat="false" ht="15" hidden="false" customHeight="false" outlineLevel="0" collapsed="false">
      <c r="A1106" s="2" t="s">
        <v>240</v>
      </c>
      <c r="B1106" s="2" t="s">
        <v>410</v>
      </c>
      <c r="C1106" s="2" t="s">
        <v>627</v>
      </c>
      <c r="D1106" s="2" t="s">
        <v>402</v>
      </c>
      <c r="E1106" s="2" t="s">
        <v>168</v>
      </c>
    </row>
    <row r="1107" customFormat="false" ht="15" hidden="false" customHeight="false" outlineLevel="0" collapsed="false">
      <c r="A1107" s="2" t="s">
        <v>240</v>
      </c>
      <c r="B1107" s="2" t="s">
        <v>708</v>
      </c>
      <c r="C1107" s="2" t="s">
        <v>628</v>
      </c>
      <c r="D1107" s="2" t="s">
        <v>687</v>
      </c>
      <c r="E1107" s="2" t="s">
        <v>166</v>
      </c>
    </row>
    <row r="1108" customFormat="false" ht="15" hidden="false" customHeight="false" outlineLevel="0" collapsed="false">
      <c r="A1108" s="2" t="s">
        <v>240</v>
      </c>
      <c r="B1108" s="2" t="s">
        <v>688</v>
      </c>
      <c r="C1108" s="2" t="s">
        <v>645</v>
      </c>
      <c r="D1108" s="2" t="s">
        <v>373</v>
      </c>
      <c r="E1108" s="2" t="s">
        <v>170</v>
      </c>
    </row>
    <row r="1109" customFormat="false" ht="15" hidden="false" customHeight="false" outlineLevel="0" collapsed="false">
      <c r="A1109" s="2" t="s">
        <v>240</v>
      </c>
      <c r="B1109" s="2" t="s">
        <v>689</v>
      </c>
      <c r="C1109" s="2" t="s">
        <v>645</v>
      </c>
      <c r="D1109" s="2" t="s">
        <v>690</v>
      </c>
      <c r="E1109" s="2" t="s">
        <v>167</v>
      </c>
    </row>
    <row r="1110" customFormat="false" ht="15" hidden="false" customHeight="false" outlineLevel="0" collapsed="false">
      <c r="A1110" s="2" t="s">
        <v>240</v>
      </c>
      <c r="B1110" s="2" t="s">
        <v>691</v>
      </c>
      <c r="C1110" s="2" t="s">
        <v>645</v>
      </c>
      <c r="D1110" s="2" t="s">
        <v>690</v>
      </c>
      <c r="E1110" s="2" t="s">
        <v>167</v>
      </c>
    </row>
    <row r="1111" customFormat="false" ht="15" hidden="false" customHeight="false" outlineLevel="0" collapsed="false">
      <c r="A1111" s="2" t="s">
        <v>242</v>
      </c>
      <c r="B1111" s="2" t="s">
        <v>649</v>
      </c>
      <c r="C1111" s="2" t="s">
        <v>635</v>
      </c>
      <c r="D1111" s="2" t="s">
        <v>487</v>
      </c>
      <c r="E1111" s="2" t="s">
        <v>166</v>
      </c>
    </row>
    <row r="1112" customFormat="false" ht="15" hidden="false" customHeight="false" outlineLevel="0" collapsed="false">
      <c r="A1112" s="2" t="s">
        <v>242</v>
      </c>
      <c r="B1112" s="2" t="s">
        <v>650</v>
      </c>
      <c r="C1112" s="2" t="s">
        <v>635</v>
      </c>
      <c r="D1112" s="2" t="s">
        <v>651</v>
      </c>
      <c r="E1112" s="2" t="s">
        <v>169</v>
      </c>
    </row>
    <row r="1113" customFormat="false" ht="15" hidden="false" customHeight="false" outlineLevel="0" collapsed="false">
      <c r="A1113" s="2" t="s">
        <v>242</v>
      </c>
      <c r="B1113" s="2" t="s">
        <v>652</v>
      </c>
      <c r="C1113" s="2" t="s">
        <v>635</v>
      </c>
      <c r="D1113" s="2" t="s">
        <v>653</v>
      </c>
      <c r="E1113" s="2" t="s">
        <v>169</v>
      </c>
    </row>
    <row r="1114" customFormat="false" ht="15" hidden="false" customHeight="false" outlineLevel="0" collapsed="false">
      <c r="A1114" s="2" t="s">
        <v>242</v>
      </c>
      <c r="B1114" s="2" t="s">
        <v>654</v>
      </c>
      <c r="C1114" s="2" t="s">
        <v>635</v>
      </c>
      <c r="D1114" s="2" t="s">
        <v>655</v>
      </c>
      <c r="E1114" s="2" t="s">
        <v>169</v>
      </c>
    </row>
    <row r="1115" customFormat="false" ht="15" hidden="false" customHeight="false" outlineLevel="0" collapsed="false">
      <c r="A1115" s="2" t="s">
        <v>242</v>
      </c>
      <c r="B1115" s="2" t="s">
        <v>656</v>
      </c>
      <c r="C1115" s="2" t="s">
        <v>642</v>
      </c>
      <c r="D1115" s="2" t="s">
        <v>487</v>
      </c>
      <c r="E1115" s="2" t="s">
        <v>166</v>
      </c>
    </row>
    <row r="1116" customFormat="false" ht="15" hidden="false" customHeight="false" outlineLevel="0" collapsed="false">
      <c r="A1116" s="2" t="s">
        <v>242</v>
      </c>
      <c r="B1116" s="2" t="s">
        <v>320</v>
      </c>
      <c r="C1116" s="2" t="s">
        <v>642</v>
      </c>
      <c r="D1116" s="2" t="s">
        <v>657</v>
      </c>
      <c r="E1116" s="2" t="s">
        <v>169</v>
      </c>
    </row>
    <row r="1117" customFormat="false" ht="15" hidden="false" customHeight="false" outlineLevel="0" collapsed="false">
      <c r="A1117" s="2" t="s">
        <v>242</v>
      </c>
      <c r="B1117" s="2" t="s">
        <v>658</v>
      </c>
      <c r="C1117" s="2" t="s">
        <v>642</v>
      </c>
      <c r="D1117" s="2" t="s">
        <v>487</v>
      </c>
      <c r="E1117" s="2" t="s">
        <v>166</v>
      </c>
    </row>
    <row r="1118" customFormat="false" ht="15" hidden="false" customHeight="false" outlineLevel="0" collapsed="false">
      <c r="A1118" s="2" t="s">
        <v>242</v>
      </c>
      <c r="B1118" s="2" t="s">
        <v>324</v>
      </c>
      <c r="C1118" s="2" t="s">
        <v>642</v>
      </c>
      <c r="D1118" s="2" t="s">
        <v>610</v>
      </c>
      <c r="E1118" s="2" t="s">
        <v>166</v>
      </c>
    </row>
    <row r="1119" customFormat="false" ht="15" hidden="false" customHeight="false" outlineLevel="0" collapsed="false">
      <c r="A1119" s="2" t="s">
        <v>242</v>
      </c>
      <c r="B1119" s="2" t="s">
        <v>660</v>
      </c>
      <c r="C1119" s="2" t="s">
        <v>640</v>
      </c>
      <c r="D1119" s="2" t="s">
        <v>355</v>
      </c>
      <c r="E1119" s="2" t="s">
        <v>166</v>
      </c>
    </row>
    <row r="1120" customFormat="false" ht="15" hidden="false" customHeight="false" outlineLevel="0" collapsed="false">
      <c r="A1120" s="2" t="s">
        <v>242</v>
      </c>
      <c r="B1120" s="2" t="s">
        <v>661</v>
      </c>
      <c r="C1120" s="2" t="s">
        <v>641</v>
      </c>
      <c r="D1120" s="2" t="s">
        <v>355</v>
      </c>
      <c r="E1120" s="2" t="s">
        <v>166</v>
      </c>
    </row>
    <row r="1121" customFormat="false" ht="15" hidden="false" customHeight="false" outlineLevel="0" collapsed="false">
      <c r="A1121" s="2" t="s">
        <v>242</v>
      </c>
      <c r="B1121" s="2" t="s">
        <v>662</v>
      </c>
      <c r="C1121" s="2" t="s">
        <v>630</v>
      </c>
      <c r="D1121" s="2" t="s">
        <v>585</v>
      </c>
      <c r="E1121" s="2" t="s">
        <v>167</v>
      </c>
    </row>
    <row r="1122" customFormat="false" ht="15" hidden="false" customHeight="false" outlineLevel="0" collapsed="false">
      <c r="A1122" s="2" t="s">
        <v>242</v>
      </c>
      <c r="B1122" s="2" t="s">
        <v>663</v>
      </c>
      <c r="C1122" s="2" t="s">
        <v>631</v>
      </c>
      <c r="D1122" s="2" t="s">
        <v>698</v>
      </c>
      <c r="E1122" s="2" t="s">
        <v>166</v>
      </c>
    </row>
    <row r="1123" customFormat="false" ht="15" hidden="false" customHeight="false" outlineLevel="0" collapsed="false">
      <c r="A1123" s="2" t="s">
        <v>242</v>
      </c>
      <c r="B1123" s="2" t="s">
        <v>665</v>
      </c>
      <c r="C1123" s="2" t="s">
        <v>631</v>
      </c>
      <c r="D1123" s="2" t="s">
        <v>699</v>
      </c>
      <c r="E1123" s="2" t="s">
        <v>169</v>
      </c>
    </row>
    <row r="1124" customFormat="false" ht="15" hidden="false" customHeight="false" outlineLevel="0" collapsed="false">
      <c r="A1124" s="2" t="s">
        <v>242</v>
      </c>
      <c r="B1124" s="2" t="s">
        <v>667</v>
      </c>
      <c r="C1124" s="2" t="s">
        <v>638</v>
      </c>
      <c r="D1124" s="2" t="s">
        <v>668</v>
      </c>
      <c r="E1124" s="2" t="s">
        <v>166</v>
      </c>
    </row>
    <row r="1125" customFormat="false" ht="15" hidden="false" customHeight="false" outlineLevel="0" collapsed="false">
      <c r="A1125" s="2" t="s">
        <v>242</v>
      </c>
      <c r="B1125" s="2" t="s">
        <v>669</v>
      </c>
      <c r="C1125" s="2" t="s">
        <v>636</v>
      </c>
      <c r="D1125" s="2" t="s">
        <v>670</v>
      </c>
      <c r="E1125" s="2" t="s">
        <v>166</v>
      </c>
    </row>
    <row r="1126" customFormat="false" ht="15" hidden="false" customHeight="false" outlineLevel="0" collapsed="false">
      <c r="A1126" s="2" t="s">
        <v>242</v>
      </c>
      <c r="B1126" s="2" t="s">
        <v>671</v>
      </c>
      <c r="C1126" s="2" t="s">
        <v>632</v>
      </c>
      <c r="D1126" s="2" t="s">
        <v>672</v>
      </c>
      <c r="E1126" s="2" t="s">
        <v>166</v>
      </c>
    </row>
    <row r="1127" customFormat="false" ht="15" hidden="false" customHeight="false" outlineLevel="0" collapsed="false">
      <c r="A1127" s="2" t="s">
        <v>242</v>
      </c>
      <c r="B1127" s="2" t="s">
        <v>692</v>
      </c>
      <c r="C1127" s="2" t="s">
        <v>632</v>
      </c>
      <c r="D1127" s="2" t="s">
        <v>523</v>
      </c>
      <c r="E1127" s="2" t="s">
        <v>168</v>
      </c>
    </row>
    <row r="1128" customFormat="false" ht="15" hidden="false" customHeight="false" outlineLevel="0" collapsed="false">
      <c r="A1128" s="2" t="s">
        <v>242</v>
      </c>
      <c r="B1128" s="2" t="s">
        <v>675</v>
      </c>
      <c r="C1128" s="2" t="s">
        <v>632</v>
      </c>
      <c r="D1128" s="2" t="s">
        <v>523</v>
      </c>
      <c r="E1128" s="2" t="s">
        <v>168</v>
      </c>
    </row>
    <row r="1129" customFormat="false" ht="15" hidden="false" customHeight="false" outlineLevel="0" collapsed="false">
      <c r="A1129" s="2" t="s">
        <v>242</v>
      </c>
      <c r="B1129" s="2" t="s">
        <v>412</v>
      </c>
      <c r="C1129" s="2" t="s">
        <v>632</v>
      </c>
      <c r="D1129" s="2" t="s">
        <v>523</v>
      </c>
      <c r="E1129" s="2" t="s">
        <v>168</v>
      </c>
    </row>
    <row r="1130" customFormat="false" ht="15" hidden="false" customHeight="false" outlineLevel="0" collapsed="false">
      <c r="A1130" s="2" t="s">
        <v>242</v>
      </c>
      <c r="B1130" s="2" t="s">
        <v>693</v>
      </c>
      <c r="C1130" s="2" t="s">
        <v>632</v>
      </c>
      <c r="D1130" s="2" t="s">
        <v>523</v>
      </c>
      <c r="E1130" s="2" t="s">
        <v>170</v>
      </c>
    </row>
    <row r="1131" customFormat="false" ht="15" hidden="false" customHeight="false" outlineLevel="0" collapsed="false">
      <c r="A1131" s="2" t="s">
        <v>242</v>
      </c>
      <c r="B1131" s="2" t="s">
        <v>694</v>
      </c>
      <c r="C1131" s="2" t="s">
        <v>633</v>
      </c>
      <c r="D1131" s="2" t="s">
        <v>677</v>
      </c>
      <c r="E1131" s="2" t="s">
        <v>166</v>
      </c>
    </row>
    <row r="1132" customFormat="false" ht="15" hidden="false" customHeight="false" outlineLevel="0" collapsed="false">
      <c r="A1132" s="2" t="s">
        <v>242</v>
      </c>
      <c r="B1132" s="2" t="s">
        <v>678</v>
      </c>
      <c r="C1132" s="2" t="s">
        <v>634</v>
      </c>
      <c r="D1132" s="2" t="s">
        <v>695</v>
      </c>
      <c r="E1132" s="2" t="s">
        <v>169</v>
      </c>
    </row>
    <row r="1133" customFormat="false" ht="15" hidden="false" customHeight="false" outlineLevel="0" collapsed="false">
      <c r="A1133" s="2" t="s">
        <v>242</v>
      </c>
      <c r="B1133" s="2" t="s">
        <v>680</v>
      </c>
      <c r="C1133" s="2" t="s">
        <v>629</v>
      </c>
      <c r="D1133" s="2" t="s">
        <v>703</v>
      </c>
      <c r="E1133" s="2" t="s">
        <v>166</v>
      </c>
    </row>
    <row r="1134" customFormat="false" ht="15" hidden="false" customHeight="false" outlineLevel="0" collapsed="false">
      <c r="A1134" s="2" t="s">
        <v>242</v>
      </c>
      <c r="B1134" s="2" t="s">
        <v>370</v>
      </c>
      <c r="C1134" s="2" t="s">
        <v>627</v>
      </c>
      <c r="D1134" s="2" t="s">
        <v>717</v>
      </c>
      <c r="E1134" s="2" t="s">
        <v>166</v>
      </c>
    </row>
    <row r="1135" customFormat="false" ht="15" hidden="false" customHeight="false" outlineLevel="0" collapsed="false">
      <c r="A1135" s="2" t="s">
        <v>242</v>
      </c>
      <c r="B1135" s="2" t="s">
        <v>684</v>
      </c>
      <c r="C1135" s="2" t="s">
        <v>627</v>
      </c>
      <c r="D1135" s="2" t="s">
        <v>718</v>
      </c>
      <c r="E1135" s="2" t="s">
        <v>166</v>
      </c>
    </row>
    <row r="1136" customFormat="false" ht="15" hidden="false" customHeight="false" outlineLevel="0" collapsed="false">
      <c r="A1136" s="2" t="s">
        <v>242</v>
      </c>
      <c r="B1136" s="2" t="s">
        <v>410</v>
      </c>
      <c r="C1136" s="2" t="s">
        <v>627</v>
      </c>
      <c r="D1136" s="2" t="s">
        <v>718</v>
      </c>
      <c r="E1136" s="2" t="s">
        <v>166</v>
      </c>
    </row>
    <row r="1137" customFormat="false" ht="15" hidden="false" customHeight="false" outlineLevel="0" collapsed="false">
      <c r="A1137" s="2" t="s">
        <v>242</v>
      </c>
      <c r="B1137" s="2" t="s">
        <v>685</v>
      </c>
      <c r="C1137" s="2" t="s">
        <v>627</v>
      </c>
      <c r="D1137" s="2" t="s">
        <v>718</v>
      </c>
      <c r="E1137" s="2" t="s">
        <v>170</v>
      </c>
    </row>
    <row r="1138" customFormat="false" ht="15" hidden="false" customHeight="false" outlineLevel="0" collapsed="false">
      <c r="A1138" s="2" t="s">
        <v>242</v>
      </c>
      <c r="B1138" s="2" t="s">
        <v>686</v>
      </c>
      <c r="C1138" s="2" t="s">
        <v>628</v>
      </c>
      <c r="D1138" s="2" t="s">
        <v>719</v>
      </c>
      <c r="E1138" s="2" t="s">
        <v>166</v>
      </c>
    </row>
    <row r="1139" customFormat="false" ht="15" hidden="false" customHeight="false" outlineLevel="0" collapsed="false">
      <c r="A1139" s="2" t="s">
        <v>242</v>
      </c>
      <c r="B1139" s="2" t="s">
        <v>711</v>
      </c>
      <c r="C1139" s="2" t="s">
        <v>644</v>
      </c>
      <c r="D1139" s="2" t="s">
        <v>604</v>
      </c>
      <c r="E1139" s="2" t="s">
        <v>170</v>
      </c>
    </row>
    <row r="1140" customFormat="false" ht="15" hidden="false" customHeight="false" outlineLevel="0" collapsed="false">
      <c r="A1140" s="2" t="s">
        <v>242</v>
      </c>
      <c r="B1140" s="2" t="s">
        <v>688</v>
      </c>
      <c r="C1140" s="2" t="s">
        <v>645</v>
      </c>
      <c r="D1140" s="2" t="s">
        <v>373</v>
      </c>
      <c r="E1140" s="2" t="s">
        <v>170</v>
      </c>
    </row>
    <row r="1141" customFormat="false" ht="15" hidden="false" customHeight="false" outlineLevel="0" collapsed="false">
      <c r="A1141" s="2" t="s">
        <v>242</v>
      </c>
      <c r="B1141" s="2" t="s">
        <v>689</v>
      </c>
      <c r="C1141" s="2" t="s">
        <v>645</v>
      </c>
      <c r="D1141" s="2" t="s">
        <v>690</v>
      </c>
      <c r="E1141" s="2" t="s">
        <v>167</v>
      </c>
    </row>
    <row r="1142" customFormat="false" ht="15" hidden="false" customHeight="false" outlineLevel="0" collapsed="false">
      <c r="A1142" s="2" t="s">
        <v>242</v>
      </c>
      <c r="B1142" s="2" t="s">
        <v>691</v>
      </c>
      <c r="C1142" s="2" t="s">
        <v>645</v>
      </c>
      <c r="D1142" s="2" t="s">
        <v>690</v>
      </c>
      <c r="E1142" s="2" t="s">
        <v>167</v>
      </c>
    </row>
    <row r="1143" customFormat="false" ht="15" hidden="false" customHeight="false" outlineLevel="0" collapsed="false">
      <c r="A1143" s="2" t="s">
        <v>243</v>
      </c>
      <c r="B1143" s="2" t="s">
        <v>649</v>
      </c>
      <c r="C1143" s="2" t="s">
        <v>635</v>
      </c>
      <c r="D1143" s="2" t="s">
        <v>487</v>
      </c>
      <c r="E1143" s="2" t="s">
        <v>166</v>
      </c>
    </row>
    <row r="1144" customFormat="false" ht="15" hidden="false" customHeight="false" outlineLevel="0" collapsed="false">
      <c r="A1144" s="2" t="s">
        <v>243</v>
      </c>
      <c r="B1144" s="2" t="s">
        <v>650</v>
      </c>
      <c r="C1144" s="2" t="s">
        <v>635</v>
      </c>
      <c r="D1144" s="2" t="s">
        <v>651</v>
      </c>
      <c r="E1144" s="2" t="s">
        <v>169</v>
      </c>
    </row>
    <row r="1145" customFormat="false" ht="15" hidden="false" customHeight="false" outlineLevel="0" collapsed="false">
      <c r="A1145" s="2" t="s">
        <v>243</v>
      </c>
      <c r="B1145" s="2" t="s">
        <v>652</v>
      </c>
      <c r="C1145" s="2" t="s">
        <v>635</v>
      </c>
      <c r="D1145" s="2" t="s">
        <v>653</v>
      </c>
      <c r="E1145" s="2" t="s">
        <v>169</v>
      </c>
    </row>
    <row r="1146" customFormat="false" ht="15" hidden="false" customHeight="false" outlineLevel="0" collapsed="false">
      <c r="A1146" s="2" t="s">
        <v>243</v>
      </c>
      <c r="B1146" s="2" t="s">
        <v>654</v>
      </c>
      <c r="C1146" s="2" t="s">
        <v>635</v>
      </c>
      <c r="D1146" s="2" t="s">
        <v>655</v>
      </c>
      <c r="E1146" s="2" t="s">
        <v>169</v>
      </c>
    </row>
    <row r="1147" customFormat="false" ht="15" hidden="false" customHeight="false" outlineLevel="0" collapsed="false">
      <c r="A1147" s="2" t="s">
        <v>243</v>
      </c>
      <c r="B1147" s="2" t="s">
        <v>656</v>
      </c>
      <c r="C1147" s="2" t="s">
        <v>642</v>
      </c>
      <c r="D1147" s="2" t="s">
        <v>487</v>
      </c>
      <c r="E1147" s="2" t="s">
        <v>166</v>
      </c>
    </row>
    <row r="1148" customFormat="false" ht="15" hidden="false" customHeight="false" outlineLevel="0" collapsed="false">
      <c r="A1148" s="2" t="s">
        <v>243</v>
      </c>
      <c r="B1148" s="2" t="s">
        <v>320</v>
      </c>
      <c r="C1148" s="2" t="s">
        <v>642</v>
      </c>
      <c r="D1148" s="2" t="s">
        <v>657</v>
      </c>
      <c r="E1148" s="2" t="s">
        <v>169</v>
      </c>
    </row>
    <row r="1149" customFormat="false" ht="15" hidden="false" customHeight="false" outlineLevel="0" collapsed="false">
      <c r="A1149" s="2" t="s">
        <v>243</v>
      </c>
      <c r="B1149" s="2" t="s">
        <v>658</v>
      </c>
      <c r="C1149" s="2" t="s">
        <v>642</v>
      </c>
      <c r="D1149" s="2" t="s">
        <v>487</v>
      </c>
      <c r="E1149" s="2" t="s">
        <v>166</v>
      </c>
    </row>
    <row r="1150" customFormat="false" ht="15" hidden="false" customHeight="false" outlineLevel="0" collapsed="false">
      <c r="A1150" s="2" t="s">
        <v>243</v>
      </c>
      <c r="B1150" s="2" t="s">
        <v>324</v>
      </c>
      <c r="C1150" s="2" t="s">
        <v>642</v>
      </c>
      <c r="D1150" s="2" t="s">
        <v>610</v>
      </c>
      <c r="E1150" s="2" t="s">
        <v>166</v>
      </c>
    </row>
    <row r="1151" customFormat="false" ht="15" hidden="false" customHeight="false" outlineLevel="0" collapsed="false">
      <c r="A1151" s="2" t="s">
        <v>243</v>
      </c>
      <c r="B1151" s="2" t="s">
        <v>704</v>
      </c>
      <c r="C1151" s="2" t="s">
        <v>643</v>
      </c>
      <c r="D1151" s="2" t="s">
        <v>494</v>
      </c>
      <c r="E1151" s="2" t="s">
        <v>167</v>
      </c>
    </row>
    <row r="1152" customFormat="false" ht="15" hidden="false" customHeight="false" outlineLevel="0" collapsed="false">
      <c r="A1152" s="2" t="s">
        <v>243</v>
      </c>
      <c r="B1152" s="2" t="s">
        <v>660</v>
      </c>
      <c r="C1152" s="2" t="s">
        <v>640</v>
      </c>
      <c r="D1152" s="2" t="s">
        <v>355</v>
      </c>
      <c r="E1152" s="2" t="s">
        <v>166</v>
      </c>
    </row>
    <row r="1153" customFormat="false" ht="15" hidden="false" customHeight="false" outlineLevel="0" collapsed="false">
      <c r="A1153" s="2" t="s">
        <v>243</v>
      </c>
      <c r="B1153" s="2" t="s">
        <v>661</v>
      </c>
      <c r="C1153" s="2" t="s">
        <v>641</v>
      </c>
      <c r="D1153" s="2" t="s">
        <v>355</v>
      </c>
      <c r="E1153" s="2" t="s">
        <v>166</v>
      </c>
    </row>
    <row r="1154" customFormat="false" ht="15" hidden="false" customHeight="false" outlineLevel="0" collapsed="false">
      <c r="A1154" s="2" t="s">
        <v>243</v>
      </c>
      <c r="B1154" s="2" t="s">
        <v>707</v>
      </c>
      <c r="C1154" s="2" t="s">
        <v>637</v>
      </c>
      <c r="D1154" s="2" t="s">
        <v>505</v>
      </c>
      <c r="E1154" s="2" t="s">
        <v>166</v>
      </c>
    </row>
    <row r="1155" customFormat="false" ht="15" hidden="false" customHeight="false" outlineLevel="0" collapsed="false">
      <c r="A1155" s="2" t="s">
        <v>243</v>
      </c>
      <c r="B1155" s="2" t="s">
        <v>716</v>
      </c>
      <c r="C1155" s="2" t="s">
        <v>512</v>
      </c>
      <c r="D1155" s="2" t="s">
        <v>510</v>
      </c>
      <c r="E1155" s="2" t="s">
        <v>166</v>
      </c>
    </row>
    <row r="1156" customFormat="false" ht="15" hidden="false" customHeight="false" outlineLevel="0" collapsed="false">
      <c r="A1156" s="2" t="s">
        <v>243</v>
      </c>
      <c r="B1156" s="2" t="s">
        <v>662</v>
      </c>
      <c r="C1156" s="2" t="s">
        <v>630</v>
      </c>
      <c r="D1156" s="2" t="s">
        <v>585</v>
      </c>
      <c r="E1156" s="2" t="s">
        <v>167</v>
      </c>
    </row>
    <row r="1157" customFormat="false" ht="15" hidden="false" customHeight="false" outlineLevel="0" collapsed="false">
      <c r="A1157" s="2" t="s">
        <v>243</v>
      </c>
      <c r="B1157" s="2" t="s">
        <v>667</v>
      </c>
      <c r="C1157" s="2" t="s">
        <v>638</v>
      </c>
      <c r="D1157" s="2" t="s">
        <v>668</v>
      </c>
      <c r="E1157" s="2" t="s">
        <v>166</v>
      </c>
    </row>
    <row r="1158" customFormat="false" ht="15" hidden="false" customHeight="false" outlineLevel="0" collapsed="false">
      <c r="A1158" s="2" t="s">
        <v>243</v>
      </c>
      <c r="B1158" s="2" t="s">
        <v>669</v>
      </c>
      <c r="C1158" s="2" t="s">
        <v>636</v>
      </c>
      <c r="D1158" s="2" t="s">
        <v>670</v>
      </c>
      <c r="E1158" s="2" t="s">
        <v>166</v>
      </c>
    </row>
    <row r="1159" customFormat="false" ht="15" hidden="false" customHeight="false" outlineLevel="0" collapsed="false">
      <c r="A1159" s="2" t="s">
        <v>243</v>
      </c>
      <c r="B1159" s="2" t="s">
        <v>671</v>
      </c>
      <c r="C1159" s="2" t="s">
        <v>632</v>
      </c>
      <c r="D1159" s="2" t="s">
        <v>672</v>
      </c>
      <c r="E1159" s="2" t="s">
        <v>166</v>
      </c>
    </row>
    <row r="1160" customFormat="false" ht="15" hidden="false" customHeight="false" outlineLevel="0" collapsed="false">
      <c r="A1160" s="2" t="s">
        <v>243</v>
      </c>
      <c r="B1160" s="2" t="s">
        <v>673</v>
      </c>
      <c r="C1160" s="2" t="s">
        <v>632</v>
      </c>
      <c r="D1160" s="2" t="s">
        <v>523</v>
      </c>
      <c r="E1160" s="2" t="s">
        <v>168</v>
      </c>
    </row>
    <row r="1161" customFormat="false" ht="15" hidden="false" customHeight="false" outlineLevel="0" collapsed="false">
      <c r="A1161" s="2" t="s">
        <v>243</v>
      </c>
      <c r="B1161" s="2" t="s">
        <v>674</v>
      </c>
      <c r="C1161" s="2" t="s">
        <v>632</v>
      </c>
      <c r="D1161" s="2" t="s">
        <v>523</v>
      </c>
      <c r="E1161" s="2" t="s">
        <v>168</v>
      </c>
    </row>
    <row r="1162" customFormat="false" ht="15" hidden="false" customHeight="false" outlineLevel="0" collapsed="false">
      <c r="A1162" s="2" t="s">
        <v>243</v>
      </c>
      <c r="B1162" s="2" t="s">
        <v>675</v>
      </c>
      <c r="C1162" s="2" t="s">
        <v>632</v>
      </c>
      <c r="D1162" s="2" t="s">
        <v>523</v>
      </c>
      <c r="E1162" s="2" t="s">
        <v>168</v>
      </c>
    </row>
    <row r="1163" customFormat="false" ht="15" hidden="false" customHeight="false" outlineLevel="0" collapsed="false">
      <c r="A1163" s="2" t="s">
        <v>243</v>
      </c>
      <c r="B1163" s="2" t="s">
        <v>412</v>
      </c>
      <c r="C1163" s="2" t="s">
        <v>632</v>
      </c>
      <c r="D1163" s="2" t="s">
        <v>523</v>
      </c>
      <c r="E1163" s="2" t="s">
        <v>168</v>
      </c>
    </row>
    <row r="1164" customFormat="false" ht="15" hidden="false" customHeight="false" outlineLevel="0" collapsed="false">
      <c r="A1164" s="2" t="s">
        <v>243</v>
      </c>
      <c r="B1164" s="2" t="s">
        <v>694</v>
      </c>
      <c r="C1164" s="2" t="s">
        <v>633</v>
      </c>
      <c r="D1164" s="2" t="s">
        <v>677</v>
      </c>
      <c r="E1164" s="2" t="s">
        <v>166</v>
      </c>
    </row>
    <row r="1165" customFormat="false" ht="15" hidden="false" customHeight="false" outlineLevel="0" collapsed="false">
      <c r="A1165" s="2" t="s">
        <v>243</v>
      </c>
      <c r="B1165" s="2" t="s">
        <v>678</v>
      </c>
      <c r="C1165" s="2" t="s">
        <v>634</v>
      </c>
      <c r="D1165" s="2" t="s">
        <v>679</v>
      </c>
      <c r="E1165" s="2" t="s">
        <v>166</v>
      </c>
    </row>
    <row r="1166" customFormat="false" ht="15" hidden="false" customHeight="false" outlineLevel="0" collapsed="false">
      <c r="A1166" s="2" t="s">
        <v>243</v>
      </c>
      <c r="B1166" s="2" t="s">
        <v>680</v>
      </c>
      <c r="C1166" s="2" t="s">
        <v>629</v>
      </c>
      <c r="D1166" s="2" t="s">
        <v>681</v>
      </c>
      <c r="E1166" s="2" t="s">
        <v>169</v>
      </c>
    </row>
    <row r="1167" customFormat="false" ht="15" hidden="false" customHeight="false" outlineLevel="0" collapsed="false">
      <c r="A1167" s="2" t="s">
        <v>243</v>
      </c>
      <c r="B1167" s="2" t="s">
        <v>370</v>
      </c>
      <c r="C1167" s="2" t="s">
        <v>627</v>
      </c>
      <c r="D1167" s="2" t="s">
        <v>682</v>
      </c>
      <c r="E1167" s="2" t="s">
        <v>166</v>
      </c>
    </row>
    <row r="1168" customFormat="false" ht="15" hidden="false" customHeight="false" outlineLevel="0" collapsed="false">
      <c r="A1168" s="2" t="s">
        <v>243</v>
      </c>
      <c r="B1168" s="2" t="s">
        <v>684</v>
      </c>
      <c r="C1168" s="2" t="s">
        <v>627</v>
      </c>
      <c r="D1168" s="2" t="s">
        <v>402</v>
      </c>
      <c r="E1168" s="2" t="s">
        <v>168</v>
      </c>
    </row>
    <row r="1169" customFormat="false" ht="15" hidden="false" customHeight="false" outlineLevel="0" collapsed="false">
      <c r="A1169" s="2" t="s">
        <v>243</v>
      </c>
      <c r="B1169" s="2" t="s">
        <v>410</v>
      </c>
      <c r="C1169" s="2" t="s">
        <v>627</v>
      </c>
      <c r="D1169" s="2" t="s">
        <v>402</v>
      </c>
      <c r="E1169" s="2" t="s">
        <v>168</v>
      </c>
    </row>
    <row r="1170" customFormat="false" ht="15" hidden="false" customHeight="false" outlineLevel="0" collapsed="false">
      <c r="A1170" s="2" t="s">
        <v>243</v>
      </c>
      <c r="B1170" s="2" t="s">
        <v>685</v>
      </c>
      <c r="C1170" s="2" t="s">
        <v>627</v>
      </c>
      <c r="D1170" s="2" t="s">
        <v>402</v>
      </c>
      <c r="E1170" s="2" t="s">
        <v>170</v>
      </c>
    </row>
    <row r="1171" customFormat="false" ht="15" hidden="false" customHeight="false" outlineLevel="0" collapsed="false">
      <c r="A1171" s="2" t="s">
        <v>243</v>
      </c>
      <c r="B1171" s="2" t="s">
        <v>686</v>
      </c>
      <c r="C1171" s="2" t="s">
        <v>628</v>
      </c>
      <c r="D1171" s="2" t="s">
        <v>687</v>
      </c>
      <c r="E1171" s="2" t="s">
        <v>166</v>
      </c>
    </row>
    <row r="1172" customFormat="false" ht="15" hidden="false" customHeight="false" outlineLevel="0" collapsed="false">
      <c r="A1172" s="2" t="s">
        <v>243</v>
      </c>
      <c r="B1172" s="2" t="s">
        <v>705</v>
      </c>
      <c r="C1172" s="2" t="s">
        <v>639</v>
      </c>
      <c r="D1172" s="2" t="s">
        <v>598</v>
      </c>
      <c r="E1172" s="2" t="s">
        <v>170</v>
      </c>
    </row>
    <row r="1173" customFormat="false" ht="15" hidden="false" customHeight="false" outlineLevel="0" collapsed="false">
      <c r="A1173" s="2" t="s">
        <v>243</v>
      </c>
      <c r="B1173" s="2" t="s">
        <v>705</v>
      </c>
      <c r="C1173" s="2" t="s">
        <v>639</v>
      </c>
      <c r="D1173" s="2" t="s">
        <v>598</v>
      </c>
      <c r="E1173" s="2" t="s">
        <v>170</v>
      </c>
    </row>
    <row r="1174" customFormat="false" ht="15" hidden="false" customHeight="false" outlineLevel="0" collapsed="false">
      <c r="A1174" s="2" t="s">
        <v>243</v>
      </c>
      <c r="B1174" s="2" t="s">
        <v>688</v>
      </c>
      <c r="C1174" s="2" t="s">
        <v>645</v>
      </c>
      <c r="D1174" s="2" t="s">
        <v>373</v>
      </c>
      <c r="E1174" s="2" t="s">
        <v>170</v>
      </c>
    </row>
    <row r="1175" customFormat="false" ht="15" hidden="false" customHeight="false" outlineLevel="0" collapsed="false">
      <c r="A1175" s="2" t="s">
        <v>243</v>
      </c>
      <c r="B1175" s="2" t="s">
        <v>689</v>
      </c>
      <c r="C1175" s="2" t="s">
        <v>645</v>
      </c>
      <c r="D1175" s="2" t="s">
        <v>690</v>
      </c>
      <c r="E1175" s="2" t="s">
        <v>167</v>
      </c>
    </row>
    <row r="1176" customFormat="false" ht="15" hidden="false" customHeight="false" outlineLevel="0" collapsed="false">
      <c r="A1176" s="2" t="s">
        <v>243</v>
      </c>
      <c r="B1176" s="2" t="s">
        <v>691</v>
      </c>
      <c r="C1176" s="2" t="s">
        <v>645</v>
      </c>
      <c r="D1176" s="2" t="s">
        <v>690</v>
      </c>
      <c r="E1176" s="2" t="s">
        <v>167</v>
      </c>
    </row>
    <row r="1177" customFormat="false" ht="15" hidden="false" customHeight="false" outlineLevel="0" collapsed="false">
      <c r="A1177" s="2" t="s">
        <v>244</v>
      </c>
      <c r="B1177" s="2" t="s">
        <v>649</v>
      </c>
      <c r="C1177" s="2" t="s">
        <v>635</v>
      </c>
      <c r="D1177" s="2" t="s">
        <v>487</v>
      </c>
      <c r="E1177" s="2" t="s">
        <v>166</v>
      </c>
    </row>
    <row r="1178" customFormat="false" ht="15" hidden="false" customHeight="false" outlineLevel="0" collapsed="false">
      <c r="A1178" s="2" t="s">
        <v>244</v>
      </c>
      <c r="B1178" s="2" t="s">
        <v>650</v>
      </c>
      <c r="C1178" s="2" t="s">
        <v>635</v>
      </c>
      <c r="D1178" s="2" t="s">
        <v>651</v>
      </c>
      <c r="E1178" s="2" t="s">
        <v>169</v>
      </c>
    </row>
    <row r="1179" customFormat="false" ht="15" hidden="false" customHeight="false" outlineLevel="0" collapsed="false">
      <c r="A1179" s="2" t="s">
        <v>244</v>
      </c>
      <c r="B1179" s="2" t="s">
        <v>652</v>
      </c>
      <c r="C1179" s="2" t="s">
        <v>635</v>
      </c>
      <c r="D1179" s="2" t="s">
        <v>653</v>
      </c>
      <c r="E1179" s="2" t="s">
        <v>169</v>
      </c>
    </row>
    <row r="1180" customFormat="false" ht="15" hidden="false" customHeight="false" outlineLevel="0" collapsed="false">
      <c r="A1180" s="2" t="s">
        <v>244</v>
      </c>
      <c r="B1180" s="2" t="s">
        <v>654</v>
      </c>
      <c r="C1180" s="2" t="s">
        <v>635</v>
      </c>
      <c r="D1180" s="2" t="s">
        <v>655</v>
      </c>
      <c r="E1180" s="2" t="s">
        <v>169</v>
      </c>
    </row>
    <row r="1181" customFormat="false" ht="15" hidden="false" customHeight="false" outlineLevel="0" collapsed="false">
      <c r="A1181" s="2" t="s">
        <v>244</v>
      </c>
      <c r="B1181" s="2" t="s">
        <v>656</v>
      </c>
      <c r="C1181" s="2" t="s">
        <v>642</v>
      </c>
      <c r="D1181" s="2" t="s">
        <v>487</v>
      </c>
      <c r="E1181" s="2" t="s">
        <v>166</v>
      </c>
    </row>
    <row r="1182" customFormat="false" ht="15" hidden="false" customHeight="false" outlineLevel="0" collapsed="false">
      <c r="A1182" s="2" t="s">
        <v>244</v>
      </c>
      <c r="B1182" s="2" t="s">
        <v>320</v>
      </c>
      <c r="C1182" s="2" t="s">
        <v>642</v>
      </c>
      <c r="D1182" s="2" t="s">
        <v>657</v>
      </c>
      <c r="E1182" s="2" t="s">
        <v>169</v>
      </c>
    </row>
    <row r="1183" customFormat="false" ht="15" hidden="false" customHeight="false" outlineLevel="0" collapsed="false">
      <c r="A1183" s="2" t="s">
        <v>244</v>
      </c>
      <c r="B1183" s="2" t="s">
        <v>658</v>
      </c>
      <c r="C1183" s="2" t="s">
        <v>642</v>
      </c>
      <c r="D1183" s="2" t="s">
        <v>487</v>
      </c>
      <c r="E1183" s="2" t="s">
        <v>166</v>
      </c>
    </row>
    <row r="1184" customFormat="false" ht="15" hidden="false" customHeight="false" outlineLevel="0" collapsed="false">
      <c r="A1184" s="2" t="s">
        <v>244</v>
      </c>
      <c r="B1184" s="2" t="s">
        <v>324</v>
      </c>
      <c r="C1184" s="2" t="s">
        <v>642</v>
      </c>
      <c r="D1184" s="2" t="s">
        <v>659</v>
      </c>
      <c r="E1184" s="2" t="s">
        <v>169</v>
      </c>
    </row>
    <row r="1185" customFormat="false" ht="15" hidden="false" customHeight="false" outlineLevel="0" collapsed="false">
      <c r="A1185" s="2" t="s">
        <v>244</v>
      </c>
      <c r="B1185" s="2" t="s">
        <v>660</v>
      </c>
      <c r="C1185" s="2" t="s">
        <v>640</v>
      </c>
      <c r="D1185" s="2" t="s">
        <v>355</v>
      </c>
      <c r="E1185" s="2" t="s">
        <v>166</v>
      </c>
    </row>
    <row r="1186" customFormat="false" ht="15" hidden="false" customHeight="false" outlineLevel="0" collapsed="false">
      <c r="A1186" s="2" t="s">
        <v>244</v>
      </c>
      <c r="B1186" s="2" t="s">
        <v>661</v>
      </c>
      <c r="C1186" s="2" t="s">
        <v>641</v>
      </c>
      <c r="D1186" s="2" t="s">
        <v>355</v>
      </c>
      <c r="E1186" s="2" t="s">
        <v>166</v>
      </c>
    </row>
    <row r="1187" customFormat="false" ht="15" hidden="false" customHeight="false" outlineLevel="0" collapsed="false">
      <c r="A1187" s="2" t="s">
        <v>244</v>
      </c>
      <c r="B1187" s="2" t="s">
        <v>707</v>
      </c>
      <c r="C1187" s="2" t="s">
        <v>637</v>
      </c>
      <c r="D1187" s="2" t="s">
        <v>505</v>
      </c>
      <c r="E1187" s="2" t="s">
        <v>166</v>
      </c>
    </row>
    <row r="1188" customFormat="false" ht="15" hidden="false" customHeight="false" outlineLevel="0" collapsed="false">
      <c r="A1188" s="2" t="s">
        <v>244</v>
      </c>
      <c r="B1188" s="2" t="s">
        <v>716</v>
      </c>
      <c r="C1188" s="2" t="s">
        <v>512</v>
      </c>
      <c r="D1188" s="2" t="s">
        <v>510</v>
      </c>
      <c r="E1188" s="2" t="s">
        <v>166</v>
      </c>
    </row>
    <row r="1189" customFormat="false" ht="15" hidden="false" customHeight="false" outlineLevel="0" collapsed="false">
      <c r="A1189" s="2" t="s">
        <v>244</v>
      </c>
      <c r="B1189" s="2" t="s">
        <v>662</v>
      </c>
      <c r="C1189" s="2" t="s">
        <v>630</v>
      </c>
      <c r="D1189" s="2" t="s">
        <v>585</v>
      </c>
      <c r="E1189" s="2" t="s">
        <v>167</v>
      </c>
    </row>
    <row r="1190" customFormat="false" ht="15" hidden="false" customHeight="false" outlineLevel="0" collapsed="false">
      <c r="A1190" s="2" t="s">
        <v>244</v>
      </c>
      <c r="B1190" s="2" t="s">
        <v>667</v>
      </c>
      <c r="C1190" s="2" t="s">
        <v>638</v>
      </c>
      <c r="D1190" s="2" t="s">
        <v>668</v>
      </c>
      <c r="E1190" s="2" t="s">
        <v>166</v>
      </c>
    </row>
    <row r="1191" customFormat="false" ht="15" hidden="false" customHeight="false" outlineLevel="0" collapsed="false">
      <c r="A1191" s="2" t="s">
        <v>244</v>
      </c>
      <c r="B1191" s="2" t="s">
        <v>669</v>
      </c>
      <c r="C1191" s="2" t="s">
        <v>636</v>
      </c>
      <c r="D1191" s="2" t="s">
        <v>670</v>
      </c>
      <c r="E1191" s="2" t="s">
        <v>166</v>
      </c>
    </row>
    <row r="1192" customFormat="false" ht="15" hidden="false" customHeight="false" outlineLevel="0" collapsed="false">
      <c r="A1192" s="2" t="s">
        <v>244</v>
      </c>
      <c r="B1192" s="2" t="s">
        <v>671</v>
      </c>
      <c r="C1192" s="2" t="s">
        <v>632</v>
      </c>
      <c r="D1192" s="2" t="s">
        <v>672</v>
      </c>
      <c r="E1192" s="2" t="s">
        <v>166</v>
      </c>
    </row>
    <row r="1193" customFormat="false" ht="15" hidden="false" customHeight="false" outlineLevel="0" collapsed="false">
      <c r="A1193" s="2" t="s">
        <v>244</v>
      </c>
      <c r="B1193" s="2" t="s">
        <v>673</v>
      </c>
      <c r="C1193" s="2" t="s">
        <v>632</v>
      </c>
      <c r="D1193" s="2" t="s">
        <v>523</v>
      </c>
      <c r="E1193" s="2" t="s">
        <v>168</v>
      </c>
    </row>
    <row r="1194" customFormat="false" ht="15" hidden="false" customHeight="false" outlineLevel="0" collapsed="false">
      <c r="A1194" s="2" t="s">
        <v>244</v>
      </c>
      <c r="B1194" s="2" t="s">
        <v>674</v>
      </c>
      <c r="C1194" s="2" t="s">
        <v>632</v>
      </c>
      <c r="D1194" s="2" t="s">
        <v>523</v>
      </c>
      <c r="E1194" s="2" t="s">
        <v>168</v>
      </c>
    </row>
    <row r="1195" customFormat="false" ht="15" hidden="false" customHeight="false" outlineLevel="0" collapsed="false">
      <c r="A1195" s="2" t="s">
        <v>244</v>
      </c>
      <c r="B1195" s="2" t="s">
        <v>692</v>
      </c>
      <c r="C1195" s="2" t="s">
        <v>632</v>
      </c>
      <c r="D1195" s="2" t="s">
        <v>523</v>
      </c>
      <c r="E1195" s="2" t="s">
        <v>168</v>
      </c>
    </row>
    <row r="1196" customFormat="false" ht="15" hidden="false" customHeight="false" outlineLevel="0" collapsed="false">
      <c r="A1196" s="2" t="s">
        <v>244</v>
      </c>
      <c r="B1196" s="2" t="s">
        <v>675</v>
      </c>
      <c r="C1196" s="2" t="s">
        <v>632</v>
      </c>
      <c r="D1196" s="2" t="s">
        <v>523</v>
      </c>
      <c r="E1196" s="2" t="s">
        <v>168</v>
      </c>
    </row>
    <row r="1197" customFormat="false" ht="15" hidden="false" customHeight="false" outlineLevel="0" collapsed="false">
      <c r="A1197" s="2" t="s">
        <v>244</v>
      </c>
      <c r="B1197" s="2" t="s">
        <v>412</v>
      </c>
      <c r="C1197" s="2" t="s">
        <v>632</v>
      </c>
      <c r="D1197" s="2" t="s">
        <v>523</v>
      </c>
      <c r="E1197" s="2" t="s">
        <v>168</v>
      </c>
    </row>
    <row r="1198" customFormat="false" ht="15" hidden="false" customHeight="false" outlineLevel="0" collapsed="false">
      <c r="A1198" s="2" t="s">
        <v>244</v>
      </c>
      <c r="B1198" s="2" t="s">
        <v>694</v>
      </c>
      <c r="C1198" s="2" t="s">
        <v>633</v>
      </c>
      <c r="D1198" s="2" t="s">
        <v>677</v>
      </c>
      <c r="E1198" s="2" t="s">
        <v>166</v>
      </c>
    </row>
    <row r="1199" customFormat="false" ht="15" hidden="false" customHeight="false" outlineLevel="0" collapsed="false">
      <c r="A1199" s="2" t="s">
        <v>244</v>
      </c>
      <c r="B1199" s="2" t="s">
        <v>678</v>
      </c>
      <c r="C1199" s="2" t="s">
        <v>634</v>
      </c>
      <c r="D1199" s="2" t="s">
        <v>679</v>
      </c>
      <c r="E1199" s="2" t="s">
        <v>166</v>
      </c>
    </row>
    <row r="1200" customFormat="false" ht="15" hidden="false" customHeight="false" outlineLevel="0" collapsed="false">
      <c r="A1200" s="2" t="s">
        <v>244</v>
      </c>
      <c r="B1200" s="2" t="s">
        <v>680</v>
      </c>
      <c r="C1200" s="2" t="s">
        <v>629</v>
      </c>
      <c r="D1200" s="2" t="s">
        <v>681</v>
      </c>
      <c r="E1200" s="2" t="s">
        <v>169</v>
      </c>
    </row>
    <row r="1201" customFormat="false" ht="15" hidden="false" customHeight="false" outlineLevel="0" collapsed="false">
      <c r="A1201" s="2" t="s">
        <v>244</v>
      </c>
      <c r="B1201" s="2" t="s">
        <v>370</v>
      </c>
      <c r="C1201" s="2" t="s">
        <v>627</v>
      </c>
      <c r="D1201" s="2" t="s">
        <v>682</v>
      </c>
      <c r="E1201" s="2" t="s">
        <v>166</v>
      </c>
    </row>
    <row r="1202" customFormat="false" ht="15" hidden="false" customHeight="false" outlineLevel="0" collapsed="false">
      <c r="A1202" s="2" t="s">
        <v>244</v>
      </c>
      <c r="B1202" s="2" t="s">
        <v>683</v>
      </c>
      <c r="C1202" s="2" t="s">
        <v>627</v>
      </c>
      <c r="D1202" s="2" t="s">
        <v>402</v>
      </c>
      <c r="E1202" s="2" t="s">
        <v>168</v>
      </c>
    </row>
    <row r="1203" customFormat="false" ht="15" hidden="false" customHeight="false" outlineLevel="0" collapsed="false">
      <c r="A1203" s="2" t="s">
        <v>244</v>
      </c>
      <c r="B1203" s="2" t="s">
        <v>684</v>
      </c>
      <c r="C1203" s="2" t="s">
        <v>627</v>
      </c>
      <c r="D1203" s="2" t="s">
        <v>402</v>
      </c>
      <c r="E1203" s="2" t="s">
        <v>168</v>
      </c>
    </row>
    <row r="1204" customFormat="false" ht="15" hidden="false" customHeight="false" outlineLevel="0" collapsed="false">
      <c r="A1204" s="2" t="s">
        <v>244</v>
      </c>
      <c r="B1204" s="2" t="s">
        <v>410</v>
      </c>
      <c r="C1204" s="2" t="s">
        <v>627</v>
      </c>
      <c r="D1204" s="2" t="s">
        <v>402</v>
      </c>
      <c r="E1204" s="2" t="s">
        <v>168</v>
      </c>
    </row>
    <row r="1205" customFormat="false" ht="15" hidden="false" customHeight="false" outlineLevel="0" collapsed="false">
      <c r="A1205" s="2" t="s">
        <v>244</v>
      </c>
      <c r="B1205" s="2" t="s">
        <v>685</v>
      </c>
      <c r="C1205" s="2" t="s">
        <v>627</v>
      </c>
      <c r="D1205" s="2" t="s">
        <v>402</v>
      </c>
      <c r="E1205" s="2" t="s">
        <v>170</v>
      </c>
    </row>
    <row r="1206" customFormat="false" ht="15" hidden="false" customHeight="false" outlineLevel="0" collapsed="false">
      <c r="A1206" s="2" t="s">
        <v>244</v>
      </c>
      <c r="B1206" s="2" t="s">
        <v>686</v>
      </c>
      <c r="C1206" s="2" t="s">
        <v>628</v>
      </c>
      <c r="D1206" s="2" t="s">
        <v>687</v>
      </c>
      <c r="E1206" s="2" t="s">
        <v>166</v>
      </c>
    </row>
    <row r="1207" customFormat="false" ht="15" hidden="false" customHeight="false" outlineLevel="0" collapsed="false">
      <c r="A1207" s="2" t="s">
        <v>244</v>
      </c>
      <c r="B1207" s="2" t="s">
        <v>688</v>
      </c>
      <c r="C1207" s="2" t="s">
        <v>645</v>
      </c>
      <c r="D1207" s="2" t="s">
        <v>373</v>
      </c>
      <c r="E1207" s="2" t="s">
        <v>170</v>
      </c>
    </row>
    <row r="1208" customFormat="false" ht="15" hidden="false" customHeight="false" outlineLevel="0" collapsed="false">
      <c r="A1208" s="2" t="s">
        <v>244</v>
      </c>
      <c r="B1208" s="2" t="s">
        <v>689</v>
      </c>
      <c r="C1208" s="2" t="s">
        <v>645</v>
      </c>
      <c r="D1208" s="2" t="s">
        <v>690</v>
      </c>
      <c r="E1208" s="2" t="s">
        <v>167</v>
      </c>
    </row>
    <row r="1209" customFormat="false" ht="15" hidden="false" customHeight="false" outlineLevel="0" collapsed="false">
      <c r="A1209" s="2" t="s">
        <v>244</v>
      </c>
      <c r="B1209" s="2" t="s">
        <v>691</v>
      </c>
      <c r="C1209" s="2" t="s">
        <v>645</v>
      </c>
      <c r="D1209" s="2" t="s">
        <v>690</v>
      </c>
      <c r="E1209" s="2" t="s">
        <v>167</v>
      </c>
    </row>
    <row r="1210" customFormat="false" ht="15" hidden="false" customHeight="false" outlineLevel="0" collapsed="false">
      <c r="A1210" s="2" t="s">
        <v>245</v>
      </c>
      <c r="B1210" s="2" t="s">
        <v>649</v>
      </c>
      <c r="C1210" s="2" t="s">
        <v>635</v>
      </c>
      <c r="D1210" s="2" t="s">
        <v>487</v>
      </c>
      <c r="E1210" s="2" t="s">
        <v>166</v>
      </c>
    </row>
    <row r="1211" customFormat="false" ht="15" hidden="false" customHeight="false" outlineLevel="0" collapsed="false">
      <c r="A1211" s="2" t="s">
        <v>245</v>
      </c>
      <c r="B1211" s="2" t="s">
        <v>650</v>
      </c>
      <c r="C1211" s="2" t="s">
        <v>635</v>
      </c>
      <c r="D1211" s="2" t="s">
        <v>651</v>
      </c>
      <c r="E1211" s="2" t="s">
        <v>169</v>
      </c>
    </row>
    <row r="1212" customFormat="false" ht="15" hidden="false" customHeight="false" outlineLevel="0" collapsed="false">
      <c r="A1212" s="2" t="s">
        <v>245</v>
      </c>
      <c r="B1212" s="2" t="s">
        <v>652</v>
      </c>
      <c r="C1212" s="2" t="s">
        <v>635</v>
      </c>
      <c r="D1212" s="2" t="s">
        <v>653</v>
      </c>
      <c r="E1212" s="2" t="s">
        <v>169</v>
      </c>
    </row>
    <row r="1213" customFormat="false" ht="15" hidden="false" customHeight="false" outlineLevel="0" collapsed="false">
      <c r="A1213" s="2" t="s">
        <v>245</v>
      </c>
      <c r="B1213" s="2" t="s">
        <v>654</v>
      </c>
      <c r="C1213" s="2" t="s">
        <v>635</v>
      </c>
      <c r="D1213" s="2" t="s">
        <v>655</v>
      </c>
      <c r="E1213" s="2" t="s">
        <v>169</v>
      </c>
    </row>
    <row r="1214" customFormat="false" ht="15" hidden="false" customHeight="false" outlineLevel="0" collapsed="false">
      <c r="A1214" s="2" t="s">
        <v>245</v>
      </c>
      <c r="B1214" s="2" t="s">
        <v>656</v>
      </c>
      <c r="C1214" s="2" t="s">
        <v>642</v>
      </c>
      <c r="D1214" s="2" t="s">
        <v>487</v>
      </c>
      <c r="E1214" s="2" t="s">
        <v>166</v>
      </c>
    </row>
    <row r="1215" customFormat="false" ht="15" hidden="false" customHeight="false" outlineLevel="0" collapsed="false">
      <c r="A1215" s="2" t="s">
        <v>245</v>
      </c>
      <c r="B1215" s="2" t="s">
        <v>320</v>
      </c>
      <c r="C1215" s="2" t="s">
        <v>642</v>
      </c>
      <c r="D1215" s="2" t="s">
        <v>657</v>
      </c>
      <c r="E1215" s="2" t="s">
        <v>169</v>
      </c>
    </row>
    <row r="1216" customFormat="false" ht="15" hidden="false" customHeight="false" outlineLevel="0" collapsed="false">
      <c r="A1216" s="2" t="s">
        <v>245</v>
      </c>
      <c r="B1216" s="2" t="s">
        <v>658</v>
      </c>
      <c r="C1216" s="2" t="s">
        <v>642</v>
      </c>
      <c r="D1216" s="2" t="s">
        <v>487</v>
      </c>
      <c r="E1216" s="2" t="s">
        <v>166</v>
      </c>
    </row>
    <row r="1217" customFormat="false" ht="15" hidden="false" customHeight="false" outlineLevel="0" collapsed="false">
      <c r="A1217" s="2" t="s">
        <v>245</v>
      </c>
      <c r="B1217" s="2" t="s">
        <v>324</v>
      </c>
      <c r="C1217" s="2" t="s">
        <v>642</v>
      </c>
      <c r="D1217" s="2" t="s">
        <v>659</v>
      </c>
      <c r="E1217" s="2" t="s">
        <v>169</v>
      </c>
    </row>
    <row r="1218" customFormat="false" ht="15" hidden="false" customHeight="false" outlineLevel="0" collapsed="false">
      <c r="A1218" s="2" t="s">
        <v>245</v>
      </c>
      <c r="B1218" s="2" t="s">
        <v>704</v>
      </c>
      <c r="C1218" s="2" t="s">
        <v>643</v>
      </c>
      <c r="D1218" s="2" t="s">
        <v>494</v>
      </c>
      <c r="E1218" s="2" t="s">
        <v>167</v>
      </c>
    </row>
    <row r="1219" customFormat="false" ht="15" hidden="false" customHeight="false" outlineLevel="0" collapsed="false">
      <c r="A1219" s="2" t="s">
        <v>245</v>
      </c>
      <c r="B1219" s="2" t="s">
        <v>660</v>
      </c>
      <c r="C1219" s="2" t="s">
        <v>640</v>
      </c>
      <c r="D1219" s="2" t="s">
        <v>355</v>
      </c>
      <c r="E1219" s="2" t="s">
        <v>166</v>
      </c>
    </row>
    <row r="1220" customFormat="false" ht="15" hidden="false" customHeight="false" outlineLevel="0" collapsed="false">
      <c r="A1220" s="2" t="s">
        <v>245</v>
      </c>
      <c r="B1220" s="2" t="s">
        <v>661</v>
      </c>
      <c r="C1220" s="2" t="s">
        <v>641</v>
      </c>
      <c r="D1220" s="2" t="s">
        <v>355</v>
      </c>
      <c r="E1220" s="2" t="s">
        <v>166</v>
      </c>
    </row>
    <row r="1221" customFormat="false" ht="15" hidden="false" customHeight="false" outlineLevel="0" collapsed="false">
      <c r="A1221" s="2" t="s">
        <v>245</v>
      </c>
      <c r="B1221" s="2" t="s">
        <v>662</v>
      </c>
      <c r="C1221" s="2" t="s">
        <v>630</v>
      </c>
      <c r="D1221" s="2" t="s">
        <v>585</v>
      </c>
      <c r="E1221" s="2" t="s">
        <v>167</v>
      </c>
    </row>
    <row r="1222" customFormat="false" ht="15" hidden="false" customHeight="false" outlineLevel="0" collapsed="false">
      <c r="A1222" s="2" t="s">
        <v>245</v>
      </c>
      <c r="B1222" s="2" t="s">
        <v>663</v>
      </c>
      <c r="C1222" s="2" t="s">
        <v>631</v>
      </c>
      <c r="D1222" s="2" t="s">
        <v>664</v>
      </c>
      <c r="E1222" s="2" t="s">
        <v>166</v>
      </c>
    </row>
    <row r="1223" customFormat="false" ht="15" hidden="false" customHeight="false" outlineLevel="0" collapsed="false">
      <c r="A1223" s="2" t="s">
        <v>245</v>
      </c>
      <c r="B1223" s="2" t="s">
        <v>665</v>
      </c>
      <c r="C1223" s="2" t="s">
        <v>631</v>
      </c>
      <c r="D1223" s="2" t="s">
        <v>666</v>
      </c>
      <c r="E1223" s="2" t="s">
        <v>169</v>
      </c>
    </row>
    <row r="1224" customFormat="false" ht="15" hidden="false" customHeight="false" outlineLevel="0" collapsed="false">
      <c r="A1224" s="2" t="s">
        <v>245</v>
      </c>
      <c r="B1224" s="2" t="s">
        <v>667</v>
      </c>
      <c r="C1224" s="2" t="s">
        <v>638</v>
      </c>
      <c r="D1224" s="2" t="s">
        <v>668</v>
      </c>
      <c r="E1224" s="2" t="s">
        <v>166</v>
      </c>
    </row>
    <row r="1225" customFormat="false" ht="15" hidden="false" customHeight="false" outlineLevel="0" collapsed="false">
      <c r="A1225" s="2" t="s">
        <v>245</v>
      </c>
      <c r="B1225" s="2" t="s">
        <v>669</v>
      </c>
      <c r="C1225" s="2" t="s">
        <v>636</v>
      </c>
      <c r="D1225" s="2" t="s">
        <v>670</v>
      </c>
      <c r="E1225" s="2" t="s">
        <v>166</v>
      </c>
    </row>
    <row r="1226" customFormat="false" ht="15" hidden="false" customHeight="false" outlineLevel="0" collapsed="false">
      <c r="A1226" s="2" t="s">
        <v>245</v>
      </c>
      <c r="B1226" s="2" t="s">
        <v>671</v>
      </c>
      <c r="C1226" s="2" t="s">
        <v>632</v>
      </c>
      <c r="D1226" s="2" t="s">
        <v>712</v>
      </c>
      <c r="E1226" s="2" t="s">
        <v>166</v>
      </c>
    </row>
    <row r="1227" customFormat="false" ht="15" hidden="false" customHeight="false" outlineLevel="0" collapsed="false">
      <c r="A1227" s="2" t="s">
        <v>245</v>
      </c>
      <c r="B1227" s="2" t="s">
        <v>675</v>
      </c>
      <c r="C1227" s="2" t="s">
        <v>632</v>
      </c>
      <c r="D1227" s="2" t="s">
        <v>713</v>
      </c>
      <c r="E1227" s="2" t="s">
        <v>166</v>
      </c>
    </row>
    <row r="1228" customFormat="false" ht="15" hidden="false" customHeight="false" outlineLevel="0" collapsed="false">
      <c r="A1228" s="2" t="s">
        <v>245</v>
      </c>
      <c r="B1228" s="2" t="s">
        <v>412</v>
      </c>
      <c r="C1228" s="2" t="s">
        <v>632</v>
      </c>
      <c r="D1228" s="2" t="s">
        <v>713</v>
      </c>
      <c r="E1228" s="2" t="s">
        <v>166</v>
      </c>
    </row>
    <row r="1229" customFormat="false" ht="15" hidden="false" customHeight="false" outlineLevel="0" collapsed="false">
      <c r="A1229" s="2" t="s">
        <v>245</v>
      </c>
      <c r="B1229" s="2" t="s">
        <v>693</v>
      </c>
      <c r="C1229" s="2" t="s">
        <v>632</v>
      </c>
      <c r="D1229" s="2" t="s">
        <v>713</v>
      </c>
      <c r="E1229" s="2" t="s">
        <v>170</v>
      </c>
    </row>
    <row r="1230" customFormat="false" ht="15" hidden="false" customHeight="false" outlineLevel="0" collapsed="false">
      <c r="A1230" s="2" t="s">
        <v>245</v>
      </c>
      <c r="B1230" s="2" t="s">
        <v>694</v>
      </c>
      <c r="C1230" s="2" t="s">
        <v>633</v>
      </c>
      <c r="D1230" s="2" t="s">
        <v>714</v>
      </c>
      <c r="E1230" s="2" t="s">
        <v>166</v>
      </c>
    </row>
    <row r="1231" customFormat="false" ht="15" hidden="false" customHeight="false" outlineLevel="0" collapsed="false">
      <c r="A1231" s="2" t="s">
        <v>245</v>
      </c>
      <c r="B1231" s="2" t="s">
        <v>678</v>
      </c>
      <c r="C1231" s="2" t="s">
        <v>634</v>
      </c>
      <c r="D1231" s="2" t="s">
        <v>679</v>
      </c>
      <c r="E1231" s="2" t="s">
        <v>166</v>
      </c>
    </row>
    <row r="1232" customFormat="false" ht="15" hidden="false" customHeight="false" outlineLevel="0" collapsed="false">
      <c r="A1232" s="2" t="s">
        <v>245</v>
      </c>
      <c r="B1232" s="2" t="s">
        <v>680</v>
      </c>
      <c r="C1232" s="2" t="s">
        <v>629</v>
      </c>
      <c r="D1232" s="2" t="s">
        <v>681</v>
      </c>
      <c r="E1232" s="2" t="s">
        <v>169</v>
      </c>
    </row>
    <row r="1233" customFormat="false" ht="15" hidden="false" customHeight="false" outlineLevel="0" collapsed="false">
      <c r="A1233" s="2" t="s">
        <v>245</v>
      </c>
      <c r="B1233" s="2" t="s">
        <v>370</v>
      </c>
      <c r="C1233" s="2" t="s">
        <v>627</v>
      </c>
      <c r="D1233" s="2" t="s">
        <v>682</v>
      </c>
      <c r="E1233" s="2" t="s">
        <v>166</v>
      </c>
    </row>
    <row r="1234" customFormat="false" ht="15" hidden="false" customHeight="false" outlineLevel="0" collapsed="false">
      <c r="A1234" s="2" t="s">
        <v>245</v>
      </c>
      <c r="B1234" s="2" t="s">
        <v>696</v>
      </c>
      <c r="C1234" s="2" t="s">
        <v>627</v>
      </c>
      <c r="D1234" s="2" t="s">
        <v>402</v>
      </c>
      <c r="E1234" s="2" t="s">
        <v>168</v>
      </c>
    </row>
    <row r="1235" customFormat="false" ht="15" hidden="false" customHeight="false" outlineLevel="0" collapsed="false">
      <c r="A1235" s="2" t="s">
        <v>245</v>
      </c>
      <c r="B1235" s="2" t="s">
        <v>697</v>
      </c>
      <c r="C1235" s="2" t="s">
        <v>627</v>
      </c>
      <c r="D1235" s="2" t="s">
        <v>402</v>
      </c>
      <c r="E1235" s="2" t="s">
        <v>168</v>
      </c>
    </row>
    <row r="1236" customFormat="false" ht="15" hidden="false" customHeight="false" outlineLevel="0" collapsed="false">
      <c r="A1236" s="2" t="s">
        <v>245</v>
      </c>
      <c r="B1236" s="2" t="s">
        <v>684</v>
      </c>
      <c r="C1236" s="2" t="s">
        <v>627</v>
      </c>
      <c r="D1236" s="2" t="s">
        <v>402</v>
      </c>
      <c r="E1236" s="2" t="s">
        <v>168</v>
      </c>
    </row>
    <row r="1237" customFormat="false" ht="15" hidden="false" customHeight="false" outlineLevel="0" collapsed="false">
      <c r="A1237" s="2" t="s">
        <v>245</v>
      </c>
      <c r="B1237" s="2" t="s">
        <v>410</v>
      </c>
      <c r="C1237" s="2" t="s">
        <v>627</v>
      </c>
      <c r="D1237" s="2" t="s">
        <v>402</v>
      </c>
      <c r="E1237" s="2" t="s">
        <v>168</v>
      </c>
    </row>
    <row r="1238" customFormat="false" ht="15" hidden="false" customHeight="false" outlineLevel="0" collapsed="false">
      <c r="A1238" s="2" t="s">
        <v>245</v>
      </c>
      <c r="B1238" s="2" t="s">
        <v>708</v>
      </c>
      <c r="C1238" s="2" t="s">
        <v>628</v>
      </c>
      <c r="D1238" s="2" t="s">
        <v>687</v>
      </c>
      <c r="E1238" s="2" t="s">
        <v>166</v>
      </c>
    </row>
    <row r="1239" customFormat="false" ht="15" hidden="false" customHeight="false" outlineLevel="0" collapsed="false">
      <c r="A1239" s="2" t="s">
        <v>245</v>
      </c>
      <c r="B1239" s="2" t="s">
        <v>688</v>
      </c>
      <c r="C1239" s="2" t="s">
        <v>645</v>
      </c>
      <c r="D1239" s="2" t="s">
        <v>373</v>
      </c>
      <c r="E1239" s="2" t="s">
        <v>170</v>
      </c>
    </row>
    <row r="1240" customFormat="false" ht="15" hidden="false" customHeight="false" outlineLevel="0" collapsed="false">
      <c r="A1240" s="2" t="s">
        <v>245</v>
      </c>
      <c r="B1240" s="2" t="s">
        <v>689</v>
      </c>
      <c r="C1240" s="2" t="s">
        <v>645</v>
      </c>
      <c r="D1240" s="2" t="s">
        <v>690</v>
      </c>
      <c r="E1240" s="2" t="s">
        <v>167</v>
      </c>
    </row>
    <row r="1241" customFormat="false" ht="15" hidden="false" customHeight="false" outlineLevel="0" collapsed="false">
      <c r="A1241" s="2" t="s">
        <v>245</v>
      </c>
      <c r="B1241" s="2" t="s">
        <v>691</v>
      </c>
      <c r="C1241" s="2" t="s">
        <v>645</v>
      </c>
      <c r="D1241" s="2" t="s">
        <v>690</v>
      </c>
      <c r="E1241" s="2" t="s">
        <v>167</v>
      </c>
    </row>
    <row r="1242" customFormat="false" ht="15" hidden="false" customHeight="false" outlineLevel="0" collapsed="false">
      <c r="A1242" s="2" t="s">
        <v>246</v>
      </c>
      <c r="B1242" s="2" t="s">
        <v>649</v>
      </c>
      <c r="C1242" s="2" t="s">
        <v>635</v>
      </c>
      <c r="D1242" s="2" t="s">
        <v>487</v>
      </c>
      <c r="E1242" s="2" t="s">
        <v>166</v>
      </c>
    </row>
    <row r="1243" customFormat="false" ht="15" hidden="false" customHeight="false" outlineLevel="0" collapsed="false">
      <c r="A1243" s="2" t="s">
        <v>246</v>
      </c>
      <c r="B1243" s="2" t="s">
        <v>650</v>
      </c>
      <c r="C1243" s="2" t="s">
        <v>635</v>
      </c>
      <c r="D1243" s="2" t="s">
        <v>651</v>
      </c>
      <c r="E1243" s="2" t="s">
        <v>169</v>
      </c>
    </row>
    <row r="1244" customFormat="false" ht="15" hidden="false" customHeight="false" outlineLevel="0" collapsed="false">
      <c r="A1244" s="2" t="s">
        <v>246</v>
      </c>
      <c r="B1244" s="2" t="s">
        <v>652</v>
      </c>
      <c r="C1244" s="2" t="s">
        <v>635</v>
      </c>
      <c r="D1244" s="2" t="s">
        <v>653</v>
      </c>
      <c r="E1244" s="2" t="s">
        <v>169</v>
      </c>
    </row>
    <row r="1245" customFormat="false" ht="15" hidden="false" customHeight="false" outlineLevel="0" collapsed="false">
      <c r="A1245" s="2" t="s">
        <v>246</v>
      </c>
      <c r="B1245" s="2" t="s">
        <v>654</v>
      </c>
      <c r="C1245" s="2" t="s">
        <v>635</v>
      </c>
      <c r="D1245" s="2" t="s">
        <v>655</v>
      </c>
      <c r="E1245" s="2" t="s">
        <v>169</v>
      </c>
    </row>
    <row r="1246" customFormat="false" ht="15" hidden="false" customHeight="false" outlineLevel="0" collapsed="false">
      <c r="A1246" s="2" t="s">
        <v>246</v>
      </c>
      <c r="B1246" s="2" t="s">
        <v>706</v>
      </c>
      <c r="C1246" s="2" t="s">
        <v>635</v>
      </c>
      <c r="D1246" s="2" t="s">
        <v>548</v>
      </c>
      <c r="E1246" s="2" t="s">
        <v>166</v>
      </c>
    </row>
    <row r="1247" customFormat="false" ht="15" hidden="false" customHeight="false" outlineLevel="0" collapsed="false">
      <c r="A1247" s="2" t="s">
        <v>246</v>
      </c>
      <c r="B1247" s="2" t="s">
        <v>656</v>
      </c>
      <c r="C1247" s="2" t="s">
        <v>642</v>
      </c>
      <c r="D1247" s="2" t="s">
        <v>487</v>
      </c>
      <c r="E1247" s="2" t="s">
        <v>166</v>
      </c>
    </row>
    <row r="1248" customFormat="false" ht="15" hidden="false" customHeight="false" outlineLevel="0" collapsed="false">
      <c r="A1248" s="2" t="s">
        <v>246</v>
      </c>
      <c r="B1248" s="2" t="s">
        <v>320</v>
      </c>
      <c r="C1248" s="2" t="s">
        <v>642</v>
      </c>
      <c r="D1248" s="2" t="s">
        <v>657</v>
      </c>
      <c r="E1248" s="2" t="s">
        <v>169</v>
      </c>
    </row>
    <row r="1249" customFormat="false" ht="15" hidden="false" customHeight="false" outlineLevel="0" collapsed="false">
      <c r="A1249" s="2" t="s">
        <v>246</v>
      </c>
      <c r="B1249" s="2" t="s">
        <v>658</v>
      </c>
      <c r="C1249" s="2" t="s">
        <v>642</v>
      </c>
      <c r="D1249" s="2" t="s">
        <v>487</v>
      </c>
      <c r="E1249" s="2" t="s">
        <v>166</v>
      </c>
    </row>
    <row r="1250" customFormat="false" ht="15" hidden="false" customHeight="false" outlineLevel="0" collapsed="false">
      <c r="A1250" s="2" t="s">
        <v>246</v>
      </c>
      <c r="B1250" s="2" t="s">
        <v>324</v>
      </c>
      <c r="C1250" s="2" t="s">
        <v>642</v>
      </c>
      <c r="D1250" s="2" t="s">
        <v>659</v>
      </c>
      <c r="E1250" s="2" t="s">
        <v>169</v>
      </c>
    </row>
    <row r="1251" customFormat="false" ht="15" hidden="false" customHeight="false" outlineLevel="0" collapsed="false">
      <c r="A1251" s="2" t="s">
        <v>246</v>
      </c>
      <c r="B1251" s="2" t="s">
        <v>660</v>
      </c>
      <c r="C1251" s="2" t="s">
        <v>640</v>
      </c>
      <c r="D1251" s="2" t="s">
        <v>355</v>
      </c>
      <c r="E1251" s="2" t="s">
        <v>166</v>
      </c>
    </row>
    <row r="1252" customFormat="false" ht="15" hidden="false" customHeight="false" outlineLevel="0" collapsed="false">
      <c r="A1252" s="2" t="s">
        <v>246</v>
      </c>
      <c r="B1252" s="2" t="s">
        <v>661</v>
      </c>
      <c r="C1252" s="2" t="s">
        <v>641</v>
      </c>
      <c r="D1252" s="2" t="s">
        <v>355</v>
      </c>
      <c r="E1252" s="2" t="s">
        <v>166</v>
      </c>
    </row>
    <row r="1253" customFormat="false" ht="15" hidden="false" customHeight="false" outlineLevel="0" collapsed="false">
      <c r="A1253" s="2" t="s">
        <v>246</v>
      </c>
      <c r="B1253" s="2" t="s">
        <v>662</v>
      </c>
      <c r="C1253" s="2" t="s">
        <v>630</v>
      </c>
      <c r="D1253" s="2" t="s">
        <v>585</v>
      </c>
      <c r="E1253" s="2" t="s">
        <v>167</v>
      </c>
    </row>
    <row r="1254" customFormat="false" ht="15" hidden="false" customHeight="false" outlineLevel="0" collapsed="false">
      <c r="A1254" s="2" t="s">
        <v>246</v>
      </c>
      <c r="B1254" s="2" t="s">
        <v>667</v>
      </c>
      <c r="C1254" s="2" t="s">
        <v>638</v>
      </c>
      <c r="D1254" s="2" t="s">
        <v>668</v>
      </c>
      <c r="E1254" s="2" t="s">
        <v>166</v>
      </c>
    </row>
    <row r="1255" customFormat="false" ht="15" hidden="false" customHeight="false" outlineLevel="0" collapsed="false">
      <c r="A1255" s="2" t="s">
        <v>246</v>
      </c>
      <c r="B1255" s="2" t="s">
        <v>669</v>
      </c>
      <c r="C1255" s="2" t="s">
        <v>636</v>
      </c>
      <c r="D1255" s="2" t="s">
        <v>670</v>
      </c>
      <c r="E1255" s="2" t="s">
        <v>166</v>
      </c>
    </row>
    <row r="1256" customFormat="false" ht="15" hidden="false" customHeight="false" outlineLevel="0" collapsed="false">
      <c r="A1256" s="2" t="s">
        <v>246</v>
      </c>
      <c r="B1256" s="2" t="s">
        <v>671</v>
      </c>
      <c r="C1256" s="2" t="s">
        <v>632</v>
      </c>
      <c r="D1256" s="2" t="s">
        <v>672</v>
      </c>
      <c r="E1256" s="2" t="s">
        <v>166</v>
      </c>
    </row>
    <row r="1257" customFormat="false" ht="15" hidden="false" customHeight="false" outlineLevel="0" collapsed="false">
      <c r="A1257" s="2" t="s">
        <v>246</v>
      </c>
      <c r="B1257" s="2" t="s">
        <v>692</v>
      </c>
      <c r="C1257" s="2" t="s">
        <v>632</v>
      </c>
      <c r="D1257" s="2" t="s">
        <v>523</v>
      </c>
      <c r="E1257" s="2" t="s">
        <v>168</v>
      </c>
    </row>
    <row r="1258" customFormat="false" ht="15" hidden="false" customHeight="false" outlineLevel="0" collapsed="false">
      <c r="A1258" s="2" t="s">
        <v>246</v>
      </c>
      <c r="B1258" s="2" t="s">
        <v>675</v>
      </c>
      <c r="C1258" s="2" t="s">
        <v>632</v>
      </c>
      <c r="D1258" s="2" t="s">
        <v>523</v>
      </c>
      <c r="E1258" s="2" t="s">
        <v>168</v>
      </c>
    </row>
    <row r="1259" customFormat="false" ht="15" hidden="false" customHeight="false" outlineLevel="0" collapsed="false">
      <c r="A1259" s="2" t="s">
        <v>246</v>
      </c>
      <c r="B1259" s="2" t="s">
        <v>412</v>
      </c>
      <c r="C1259" s="2" t="s">
        <v>632</v>
      </c>
      <c r="D1259" s="2" t="s">
        <v>523</v>
      </c>
      <c r="E1259" s="2" t="s">
        <v>168</v>
      </c>
    </row>
    <row r="1260" customFormat="false" ht="15" hidden="false" customHeight="false" outlineLevel="0" collapsed="false">
      <c r="A1260" s="2" t="s">
        <v>246</v>
      </c>
      <c r="B1260" s="2" t="s">
        <v>693</v>
      </c>
      <c r="C1260" s="2" t="s">
        <v>632</v>
      </c>
      <c r="D1260" s="2" t="s">
        <v>523</v>
      </c>
      <c r="E1260" s="2" t="s">
        <v>170</v>
      </c>
    </row>
    <row r="1261" customFormat="false" ht="15" hidden="false" customHeight="false" outlineLevel="0" collapsed="false">
      <c r="A1261" s="2" t="s">
        <v>246</v>
      </c>
      <c r="B1261" s="2" t="s">
        <v>694</v>
      </c>
      <c r="C1261" s="2" t="s">
        <v>633</v>
      </c>
      <c r="D1261" s="2" t="s">
        <v>677</v>
      </c>
      <c r="E1261" s="2" t="s">
        <v>166</v>
      </c>
    </row>
    <row r="1262" customFormat="false" ht="15" hidden="false" customHeight="false" outlineLevel="0" collapsed="false">
      <c r="A1262" s="2" t="s">
        <v>246</v>
      </c>
      <c r="B1262" s="2" t="s">
        <v>678</v>
      </c>
      <c r="C1262" s="2" t="s">
        <v>634</v>
      </c>
      <c r="D1262" s="2" t="s">
        <v>679</v>
      </c>
      <c r="E1262" s="2" t="s">
        <v>166</v>
      </c>
    </row>
    <row r="1263" customFormat="false" ht="15" hidden="false" customHeight="false" outlineLevel="0" collapsed="false">
      <c r="A1263" s="2" t="s">
        <v>246</v>
      </c>
      <c r="B1263" s="2" t="s">
        <v>680</v>
      </c>
      <c r="C1263" s="2" t="s">
        <v>629</v>
      </c>
      <c r="D1263" s="2" t="s">
        <v>681</v>
      </c>
      <c r="E1263" s="2" t="s">
        <v>169</v>
      </c>
    </row>
    <row r="1264" customFormat="false" ht="15" hidden="false" customHeight="false" outlineLevel="0" collapsed="false">
      <c r="A1264" s="2" t="s">
        <v>246</v>
      </c>
      <c r="B1264" s="2" t="s">
        <v>370</v>
      </c>
      <c r="C1264" s="2" t="s">
        <v>627</v>
      </c>
      <c r="D1264" s="2" t="s">
        <v>682</v>
      </c>
      <c r="E1264" s="2" t="s">
        <v>166</v>
      </c>
    </row>
    <row r="1265" customFormat="false" ht="15" hidden="false" customHeight="false" outlineLevel="0" collapsed="false">
      <c r="A1265" s="2" t="s">
        <v>246</v>
      </c>
      <c r="B1265" s="2" t="s">
        <v>683</v>
      </c>
      <c r="C1265" s="2" t="s">
        <v>627</v>
      </c>
      <c r="D1265" s="2" t="s">
        <v>402</v>
      </c>
      <c r="E1265" s="2" t="s">
        <v>168</v>
      </c>
    </row>
    <row r="1266" customFormat="false" ht="15" hidden="false" customHeight="false" outlineLevel="0" collapsed="false">
      <c r="A1266" s="2" t="s">
        <v>246</v>
      </c>
      <c r="B1266" s="2" t="s">
        <v>684</v>
      </c>
      <c r="C1266" s="2" t="s">
        <v>627</v>
      </c>
      <c r="D1266" s="2" t="s">
        <v>402</v>
      </c>
      <c r="E1266" s="2" t="s">
        <v>168</v>
      </c>
    </row>
    <row r="1267" customFormat="false" ht="15" hidden="false" customHeight="false" outlineLevel="0" collapsed="false">
      <c r="A1267" s="2" t="s">
        <v>246</v>
      </c>
      <c r="B1267" s="2" t="s">
        <v>410</v>
      </c>
      <c r="C1267" s="2" t="s">
        <v>627</v>
      </c>
      <c r="D1267" s="2" t="s">
        <v>402</v>
      </c>
      <c r="E1267" s="2" t="s">
        <v>168</v>
      </c>
    </row>
    <row r="1268" customFormat="false" ht="15" hidden="false" customHeight="false" outlineLevel="0" collapsed="false">
      <c r="A1268" s="2" t="s">
        <v>246</v>
      </c>
      <c r="B1268" s="2" t="s">
        <v>685</v>
      </c>
      <c r="C1268" s="2" t="s">
        <v>627</v>
      </c>
      <c r="D1268" s="2" t="s">
        <v>402</v>
      </c>
      <c r="E1268" s="2" t="s">
        <v>170</v>
      </c>
    </row>
    <row r="1269" customFormat="false" ht="15" hidden="false" customHeight="false" outlineLevel="0" collapsed="false">
      <c r="A1269" s="2" t="s">
        <v>246</v>
      </c>
      <c r="B1269" s="2" t="s">
        <v>686</v>
      </c>
      <c r="C1269" s="2" t="s">
        <v>628</v>
      </c>
      <c r="D1269" s="2" t="s">
        <v>687</v>
      </c>
      <c r="E1269" s="2" t="s">
        <v>166</v>
      </c>
    </row>
    <row r="1270" customFormat="false" ht="15" hidden="false" customHeight="false" outlineLevel="0" collapsed="false">
      <c r="A1270" s="2" t="s">
        <v>246</v>
      </c>
      <c r="B1270" s="2" t="s">
        <v>688</v>
      </c>
      <c r="C1270" s="2" t="s">
        <v>645</v>
      </c>
      <c r="D1270" s="2" t="s">
        <v>373</v>
      </c>
      <c r="E1270" s="2" t="s">
        <v>170</v>
      </c>
    </row>
    <row r="1271" customFormat="false" ht="15" hidden="false" customHeight="false" outlineLevel="0" collapsed="false">
      <c r="A1271" s="2" t="s">
        <v>247</v>
      </c>
      <c r="B1271" s="2" t="s">
        <v>649</v>
      </c>
      <c r="C1271" s="2" t="s">
        <v>635</v>
      </c>
      <c r="D1271" s="2" t="s">
        <v>487</v>
      </c>
      <c r="E1271" s="2" t="s">
        <v>166</v>
      </c>
    </row>
    <row r="1272" customFormat="false" ht="15" hidden="false" customHeight="false" outlineLevel="0" collapsed="false">
      <c r="A1272" s="2" t="s">
        <v>247</v>
      </c>
      <c r="B1272" s="2" t="s">
        <v>650</v>
      </c>
      <c r="C1272" s="2" t="s">
        <v>635</v>
      </c>
      <c r="D1272" s="2" t="s">
        <v>651</v>
      </c>
      <c r="E1272" s="2" t="s">
        <v>169</v>
      </c>
    </row>
    <row r="1273" customFormat="false" ht="15" hidden="false" customHeight="false" outlineLevel="0" collapsed="false">
      <c r="A1273" s="2" t="s">
        <v>247</v>
      </c>
      <c r="B1273" s="2" t="s">
        <v>652</v>
      </c>
      <c r="C1273" s="2" t="s">
        <v>635</v>
      </c>
      <c r="D1273" s="2" t="s">
        <v>653</v>
      </c>
      <c r="E1273" s="2" t="s">
        <v>169</v>
      </c>
    </row>
    <row r="1274" customFormat="false" ht="15" hidden="false" customHeight="false" outlineLevel="0" collapsed="false">
      <c r="A1274" s="2" t="s">
        <v>247</v>
      </c>
      <c r="B1274" s="2" t="s">
        <v>654</v>
      </c>
      <c r="C1274" s="2" t="s">
        <v>635</v>
      </c>
      <c r="D1274" s="2" t="s">
        <v>655</v>
      </c>
      <c r="E1274" s="2" t="s">
        <v>169</v>
      </c>
    </row>
    <row r="1275" customFormat="false" ht="15" hidden="false" customHeight="false" outlineLevel="0" collapsed="false">
      <c r="A1275" s="2" t="s">
        <v>247</v>
      </c>
      <c r="B1275" s="2" t="s">
        <v>656</v>
      </c>
      <c r="C1275" s="2" t="s">
        <v>642</v>
      </c>
      <c r="D1275" s="2" t="s">
        <v>487</v>
      </c>
      <c r="E1275" s="2" t="s">
        <v>166</v>
      </c>
    </row>
    <row r="1276" customFormat="false" ht="15" hidden="false" customHeight="false" outlineLevel="0" collapsed="false">
      <c r="A1276" s="2" t="s">
        <v>247</v>
      </c>
      <c r="B1276" s="2" t="s">
        <v>320</v>
      </c>
      <c r="C1276" s="2" t="s">
        <v>642</v>
      </c>
      <c r="D1276" s="2" t="s">
        <v>579</v>
      </c>
      <c r="E1276" s="2" t="s">
        <v>167</v>
      </c>
    </row>
    <row r="1277" customFormat="false" ht="15" hidden="false" customHeight="false" outlineLevel="0" collapsed="false">
      <c r="A1277" s="2" t="s">
        <v>247</v>
      </c>
      <c r="B1277" s="2" t="s">
        <v>658</v>
      </c>
      <c r="C1277" s="2" t="s">
        <v>642</v>
      </c>
      <c r="D1277" s="2" t="s">
        <v>487</v>
      </c>
      <c r="E1277" s="2" t="s">
        <v>166</v>
      </c>
    </row>
    <row r="1278" customFormat="false" ht="15" hidden="false" customHeight="false" outlineLevel="0" collapsed="false">
      <c r="A1278" s="2" t="s">
        <v>247</v>
      </c>
      <c r="B1278" s="2" t="s">
        <v>324</v>
      </c>
      <c r="C1278" s="2" t="s">
        <v>642</v>
      </c>
      <c r="D1278" s="2" t="s">
        <v>610</v>
      </c>
      <c r="E1278" s="2" t="s">
        <v>166</v>
      </c>
    </row>
    <row r="1279" customFormat="false" ht="15" hidden="false" customHeight="false" outlineLevel="0" collapsed="false">
      <c r="A1279" s="2" t="s">
        <v>247</v>
      </c>
      <c r="B1279" s="2" t="s">
        <v>704</v>
      </c>
      <c r="C1279" s="2" t="s">
        <v>643</v>
      </c>
      <c r="D1279" s="2" t="s">
        <v>494</v>
      </c>
      <c r="E1279" s="2" t="s">
        <v>167</v>
      </c>
    </row>
    <row r="1280" customFormat="false" ht="15" hidden="false" customHeight="false" outlineLevel="0" collapsed="false">
      <c r="A1280" s="2" t="s">
        <v>247</v>
      </c>
      <c r="B1280" s="2" t="s">
        <v>660</v>
      </c>
      <c r="C1280" s="2" t="s">
        <v>640</v>
      </c>
      <c r="D1280" s="2" t="s">
        <v>355</v>
      </c>
      <c r="E1280" s="2" t="s">
        <v>166</v>
      </c>
    </row>
    <row r="1281" customFormat="false" ht="15" hidden="false" customHeight="false" outlineLevel="0" collapsed="false">
      <c r="A1281" s="2" t="s">
        <v>247</v>
      </c>
      <c r="B1281" s="2" t="s">
        <v>661</v>
      </c>
      <c r="C1281" s="2" t="s">
        <v>641</v>
      </c>
      <c r="D1281" s="2" t="s">
        <v>355</v>
      </c>
      <c r="E1281" s="2" t="s">
        <v>166</v>
      </c>
    </row>
    <row r="1282" customFormat="false" ht="15" hidden="false" customHeight="false" outlineLevel="0" collapsed="false">
      <c r="A1282" s="2" t="s">
        <v>247</v>
      </c>
      <c r="B1282" s="2" t="s">
        <v>707</v>
      </c>
      <c r="C1282" s="2" t="s">
        <v>637</v>
      </c>
      <c r="D1282" s="2" t="s">
        <v>505</v>
      </c>
      <c r="E1282" s="2" t="s">
        <v>166</v>
      </c>
    </row>
    <row r="1283" customFormat="false" ht="15" hidden="false" customHeight="false" outlineLevel="0" collapsed="false">
      <c r="A1283" s="2" t="s">
        <v>247</v>
      </c>
      <c r="B1283" s="2" t="s">
        <v>716</v>
      </c>
      <c r="C1283" s="2" t="s">
        <v>512</v>
      </c>
      <c r="D1283" s="2" t="s">
        <v>510</v>
      </c>
      <c r="E1283" s="2" t="s">
        <v>166</v>
      </c>
    </row>
    <row r="1284" customFormat="false" ht="15" hidden="false" customHeight="false" outlineLevel="0" collapsed="false">
      <c r="A1284" s="2" t="s">
        <v>247</v>
      </c>
      <c r="B1284" s="2" t="s">
        <v>662</v>
      </c>
      <c r="C1284" s="2" t="s">
        <v>630</v>
      </c>
      <c r="D1284" s="2" t="s">
        <v>585</v>
      </c>
      <c r="E1284" s="2" t="s">
        <v>167</v>
      </c>
    </row>
    <row r="1285" customFormat="false" ht="15" hidden="false" customHeight="false" outlineLevel="0" collapsed="false">
      <c r="A1285" s="2" t="s">
        <v>247</v>
      </c>
      <c r="B1285" s="2" t="s">
        <v>667</v>
      </c>
      <c r="C1285" s="2" t="s">
        <v>638</v>
      </c>
      <c r="D1285" s="2" t="s">
        <v>668</v>
      </c>
      <c r="E1285" s="2" t="s">
        <v>166</v>
      </c>
    </row>
    <row r="1286" customFormat="false" ht="15" hidden="false" customHeight="false" outlineLevel="0" collapsed="false">
      <c r="A1286" s="2" t="s">
        <v>247</v>
      </c>
      <c r="B1286" s="2" t="s">
        <v>669</v>
      </c>
      <c r="C1286" s="2" t="s">
        <v>636</v>
      </c>
      <c r="D1286" s="2" t="s">
        <v>670</v>
      </c>
      <c r="E1286" s="2" t="s">
        <v>166</v>
      </c>
    </row>
    <row r="1287" customFormat="false" ht="15" hidden="false" customHeight="false" outlineLevel="0" collapsed="false">
      <c r="A1287" s="2" t="s">
        <v>247</v>
      </c>
      <c r="B1287" s="2" t="s">
        <v>671</v>
      </c>
      <c r="C1287" s="2" t="s">
        <v>632</v>
      </c>
      <c r="D1287" s="2" t="s">
        <v>672</v>
      </c>
      <c r="E1287" s="2" t="s">
        <v>166</v>
      </c>
    </row>
    <row r="1288" customFormat="false" ht="15" hidden="false" customHeight="false" outlineLevel="0" collapsed="false">
      <c r="A1288" s="2" t="s">
        <v>247</v>
      </c>
      <c r="B1288" s="2" t="s">
        <v>692</v>
      </c>
      <c r="C1288" s="2" t="s">
        <v>632</v>
      </c>
      <c r="D1288" s="2" t="s">
        <v>523</v>
      </c>
      <c r="E1288" s="2" t="s">
        <v>168</v>
      </c>
    </row>
    <row r="1289" customFormat="false" ht="15" hidden="false" customHeight="false" outlineLevel="0" collapsed="false">
      <c r="A1289" s="2" t="s">
        <v>247</v>
      </c>
      <c r="B1289" s="2" t="s">
        <v>675</v>
      </c>
      <c r="C1289" s="2" t="s">
        <v>632</v>
      </c>
      <c r="D1289" s="2" t="s">
        <v>523</v>
      </c>
      <c r="E1289" s="2" t="s">
        <v>168</v>
      </c>
    </row>
    <row r="1290" customFormat="false" ht="15" hidden="false" customHeight="false" outlineLevel="0" collapsed="false">
      <c r="A1290" s="2" t="s">
        <v>247</v>
      </c>
      <c r="B1290" s="2" t="s">
        <v>412</v>
      </c>
      <c r="C1290" s="2" t="s">
        <v>632</v>
      </c>
      <c r="D1290" s="2" t="s">
        <v>523</v>
      </c>
      <c r="E1290" s="2" t="s">
        <v>168</v>
      </c>
    </row>
    <row r="1291" customFormat="false" ht="15" hidden="false" customHeight="false" outlineLevel="0" collapsed="false">
      <c r="A1291" s="2" t="s">
        <v>247</v>
      </c>
      <c r="B1291" s="2" t="s">
        <v>693</v>
      </c>
      <c r="C1291" s="2" t="s">
        <v>632</v>
      </c>
      <c r="D1291" s="2" t="s">
        <v>523</v>
      </c>
      <c r="E1291" s="2" t="s">
        <v>170</v>
      </c>
    </row>
    <row r="1292" customFormat="false" ht="15" hidden="false" customHeight="false" outlineLevel="0" collapsed="false">
      <c r="A1292" s="2" t="s">
        <v>247</v>
      </c>
      <c r="B1292" s="2" t="s">
        <v>694</v>
      </c>
      <c r="C1292" s="2" t="s">
        <v>633</v>
      </c>
      <c r="D1292" s="2" t="s">
        <v>677</v>
      </c>
      <c r="E1292" s="2" t="s">
        <v>166</v>
      </c>
    </row>
    <row r="1293" customFormat="false" ht="15" hidden="false" customHeight="false" outlineLevel="0" collapsed="false">
      <c r="A1293" s="2" t="s">
        <v>247</v>
      </c>
      <c r="B1293" s="2" t="s">
        <v>678</v>
      </c>
      <c r="C1293" s="2" t="s">
        <v>634</v>
      </c>
      <c r="D1293" s="2" t="s">
        <v>679</v>
      </c>
      <c r="E1293" s="2" t="s">
        <v>166</v>
      </c>
    </row>
    <row r="1294" customFormat="false" ht="15" hidden="false" customHeight="false" outlineLevel="0" collapsed="false">
      <c r="A1294" s="2" t="s">
        <v>247</v>
      </c>
      <c r="B1294" s="2" t="s">
        <v>680</v>
      </c>
      <c r="C1294" s="2" t="s">
        <v>629</v>
      </c>
      <c r="D1294" s="2" t="s">
        <v>681</v>
      </c>
      <c r="E1294" s="2" t="s">
        <v>169</v>
      </c>
    </row>
    <row r="1295" customFormat="false" ht="15" hidden="false" customHeight="false" outlineLevel="0" collapsed="false">
      <c r="A1295" s="2" t="s">
        <v>247</v>
      </c>
      <c r="B1295" s="2" t="s">
        <v>370</v>
      </c>
      <c r="C1295" s="2" t="s">
        <v>627</v>
      </c>
      <c r="D1295" s="2" t="s">
        <v>682</v>
      </c>
      <c r="E1295" s="2" t="s">
        <v>166</v>
      </c>
    </row>
    <row r="1296" customFormat="false" ht="15" hidden="false" customHeight="false" outlineLevel="0" collapsed="false">
      <c r="A1296" s="2" t="s">
        <v>247</v>
      </c>
      <c r="B1296" s="2" t="s">
        <v>696</v>
      </c>
      <c r="C1296" s="2" t="s">
        <v>627</v>
      </c>
      <c r="D1296" s="2" t="s">
        <v>402</v>
      </c>
      <c r="E1296" s="2" t="s">
        <v>168</v>
      </c>
    </row>
    <row r="1297" customFormat="false" ht="15" hidden="false" customHeight="false" outlineLevel="0" collapsed="false">
      <c r="A1297" s="2" t="s">
        <v>247</v>
      </c>
      <c r="B1297" s="2" t="s">
        <v>697</v>
      </c>
      <c r="C1297" s="2" t="s">
        <v>627</v>
      </c>
      <c r="D1297" s="2" t="s">
        <v>402</v>
      </c>
      <c r="E1297" s="2" t="s">
        <v>168</v>
      </c>
    </row>
    <row r="1298" customFormat="false" ht="15" hidden="false" customHeight="false" outlineLevel="0" collapsed="false">
      <c r="A1298" s="2" t="s">
        <v>247</v>
      </c>
      <c r="B1298" s="2" t="s">
        <v>683</v>
      </c>
      <c r="C1298" s="2" t="s">
        <v>627</v>
      </c>
      <c r="D1298" s="2" t="s">
        <v>402</v>
      </c>
      <c r="E1298" s="2" t="s">
        <v>168</v>
      </c>
    </row>
    <row r="1299" customFormat="false" ht="15" hidden="false" customHeight="false" outlineLevel="0" collapsed="false">
      <c r="A1299" s="2" t="s">
        <v>247</v>
      </c>
      <c r="B1299" s="2" t="s">
        <v>684</v>
      </c>
      <c r="C1299" s="2" t="s">
        <v>627</v>
      </c>
      <c r="D1299" s="2" t="s">
        <v>402</v>
      </c>
      <c r="E1299" s="2" t="s">
        <v>168</v>
      </c>
    </row>
    <row r="1300" customFormat="false" ht="15" hidden="false" customHeight="false" outlineLevel="0" collapsed="false">
      <c r="A1300" s="2" t="s">
        <v>247</v>
      </c>
      <c r="B1300" s="2" t="s">
        <v>410</v>
      </c>
      <c r="C1300" s="2" t="s">
        <v>627</v>
      </c>
      <c r="D1300" s="2" t="s">
        <v>402</v>
      </c>
      <c r="E1300" s="2" t="s">
        <v>168</v>
      </c>
    </row>
    <row r="1301" customFormat="false" ht="15" hidden="false" customHeight="false" outlineLevel="0" collapsed="false">
      <c r="A1301" s="2" t="s">
        <v>247</v>
      </c>
      <c r="B1301" s="2" t="s">
        <v>686</v>
      </c>
      <c r="C1301" s="2" t="s">
        <v>628</v>
      </c>
      <c r="D1301" s="2" t="s">
        <v>687</v>
      </c>
      <c r="E1301" s="2" t="s">
        <v>166</v>
      </c>
    </row>
    <row r="1302" customFormat="false" ht="15" hidden="false" customHeight="false" outlineLevel="0" collapsed="false">
      <c r="A1302" s="2" t="s">
        <v>247</v>
      </c>
      <c r="B1302" s="2" t="s">
        <v>688</v>
      </c>
      <c r="C1302" s="2" t="s">
        <v>645</v>
      </c>
      <c r="D1302" s="2" t="s">
        <v>373</v>
      </c>
      <c r="E1302" s="2" t="s">
        <v>170</v>
      </c>
    </row>
    <row r="1303" customFormat="false" ht="15" hidden="false" customHeight="false" outlineLevel="0" collapsed="false">
      <c r="A1303" s="2" t="s">
        <v>247</v>
      </c>
      <c r="B1303" s="2" t="s">
        <v>689</v>
      </c>
      <c r="C1303" s="2" t="s">
        <v>645</v>
      </c>
      <c r="D1303" s="2" t="s">
        <v>690</v>
      </c>
      <c r="E1303" s="2" t="s">
        <v>167</v>
      </c>
    </row>
    <row r="1304" customFormat="false" ht="15" hidden="false" customHeight="false" outlineLevel="0" collapsed="false">
      <c r="A1304" s="2" t="s">
        <v>247</v>
      </c>
      <c r="B1304" s="2" t="s">
        <v>691</v>
      </c>
      <c r="C1304" s="2" t="s">
        <v>645</v>
      </c>
      <c r="D1304" s="2" t="s">
        <v>690</v>
      </c>
      <c r="E1304" s="2" t="s">
        <v>167</v>
      </c>
    </row>
    <row r="1305" customFormat="false" ht="15" hidden="false" customHeight="false" outlineLevel="0" collapsed="false">
      <c r="A1305" s="2" t="s">
        <v>248</v>
      </c>
      <c r="B1305" s="2" t="s">
        <v>649</v>
      </c>
      <c r="C1305" s="2" t="s">
        <v>635</v>
      </c>
      <c r="D1305" s="2" t="s">
        <v>487</v>
      </c>
      <c r="E1305" s="2" t="s">
        <v>166</v>
      </c>
    </row>
    <row r="1306" customFormat="false" ht="15" hidden="false" customHeight="false" outlineLevel="0" collapsed="false">
      <c r="A1306" s="2" t="s">
        <v>248</v>
      </c>
      <c r="B1306" s="2" t="s">
        <v>650</v>
      </c>
      <c r="C1306" s="2" t="s">
        <v>635</v>
      </c>
      <c r="D1306" s="2" t="s">
        <v>651</v>
      </c>
      <c r="E1306" s="2" t="s">
        <v>169</v>
      </c>
    </row>
    <row r="1307" customFormat="false" ht="15" hidden="false" customHeight="false" outlineLevel="0" collapsed="false">
      <c r="A1307" s="2" t="s">
        <v>248</v>
      </c>
      <c r="B1307" s="2" t="s">
        <v>652</v>
      </c>
      <c r="C1307" s="2" t="s">
        <v>635</v>
      </c>
      <c r="D1307" s="2" t="s">
        <v>653</v>
      </c>
      <c r="E1307" s="2" t="s">
        <v>169</v>
      </c>
    </row>
    <row r="1308" customFormat="false" ht="15" hidden="false" customHeight="false" outlineLevel="0" collapsed="false">
      <c r="A1308" s="2" t="s">
        <v>248</v>
      </c>
      <c r="B1308" s="2" t="s">
        <v>654</v>
      </c>
      <c r="C1308" s="2" t="s">
        <v>635</v>
      </c>
      <c r="D1308" s="2" t="s">
        <v>655</v>
      </c>
      <c r="E1308" s="2" t="s">
        <v>169</v>
      </c>
    </row>
    <row r="1309" customFormat="false" ht="15" hidden="false" customHeight="false" outlineLevel="0" collapsed="false">
      <c r="A1309" s="2" t="s">
        <v>248</v>
      </c>
      <c r="B1309" s="2" t="s">
        <v>656</v>
      </c>
      <c r="C1309" s="2" t="s">
        <v>642</v>
      </c>
      <c r="D1309" s="2" t="s">
        <v>487</v>
      </c>
      <c r="E1309" s="2" t="s">
        <v>166</v>
      </c>
    </row>
    <row r="1310" customFormat="false" ht="15" hidden="false" customHeight="false" outlineLevel="0" collapsed="false">
      <c r="A1310" s="2" t="s">
        <v>248</v>
      </c>
      <c r="B1310" s="2" t="s">
        <v>320</v>
      </c>
      <c r="C1310" s="2" t="s">
        <v>642</v>
      </c>
      <c r="D1310" s="2" t="s">
        <v>657</v>
      </c>
      <c r="E1310" s="2" t="s">
        <v>169</v>
      </c>
    </row>
    <row r="1311" customFormat="false" ht="15" hidden="false" customHeight="false" outlineLevel="0" collapsed="false">
      <c r="A1311" s="2" t="s">
        <v>248</v>
      </c>
      <c r="B1311" s="2" t="s">
        <v>658</v>
      </c>
      <c r="C1311" s="2" t="s">
        <v>642</v>
      </c>
      <c r="D1311" s="2" t="s">
        <v>487</v>
      </c>
      <c r="E1311" s="2" t="s">
        <v>166</v>
      </c>
    </row>
    <row r="1312" customFormat="false" ht="15" hidden="false" customHeight="false" outlineLevel="0" collapsed="false">
      <c r="A1312" s="2" t="s">
        <v>248</v>
      </c>
      <c r="B1312" s="2" t="s">
        <v>324</v>
      </c>
      <c r="C1312" s="2" t="s">
        <v>642</v>
      </c>
      <c r="D1312" s="2" t="s">
        <v>610</v>
      </c>
      <c r="E1312" s="2" t="s">
        <v>166</v>
      </c>
    </row>
    <row r="1313" customFormat="false" ht="15" hidden="false" customHeight="false" outlineLevel="0" collapsed="false">
      <c r="A1313" s="2" t="s">
        <v>248</v>
      </c>
      <c r="B1313" s="2" t="s">
        <v>704</v>
      </c>
      <c r="C1313" s="2" t="s">
        <v>643</v>
      </c>
      <c r="D1313" s="2" t="s">
        <v>494</v>
      </c>
      <c r="E1313" s="2" t="s">
        <v>167</v>
      </c>
    </row>
    <row r="1314" customFormat="false" ht="15" hidden="false" customHeight="false" outlineLevel="0" collapsed="false">
      <c r="A1314" s="2" t="s">
        <v>248</v>
      </c>
      <c r="B1314" s="2" t="s">
        <v>660</v>
      </c>
      <c r="C1314" s="2" t="s">
        <v>640</v>
      </c>
      <c r="D1314" s="2" t="s">
        <v>355</v>
      </c>
      <c r="E1314" s="2" t="s">
        <v>166</v>
      </c>
    </row>
    <row r="1315" customFormat="false" ht="15" hidden="false" customHeight="false" outlineLevel="0" collapsed="false">
      <c r="A1315" s="2" t="s">
        <v>248</v>
      </c>
      <c r="B1315" s="2" t="s">
        <v>661</v>
      </c>
      <c r="C1315" s="2" t="s">
        <v>641</v>
      </c>
      <c r="D1315" s="2" t="s">
        <v>355</v>
      </c>
      <c r="E1315" s="2" t="s">
        <v>166</v>
      </c>
    </row>
    <row r="1316" customFormat="false" ht="15" hidden="false" customHeight="false" outlineLevel="0" collapsed="false">
      <c r="A1316" s="2" t="s">
        <v>248</v>
      </c>
      <c r="B1316" s="2" t="s">
        <v>662</v>
      </c>
      <c r="C1316" s="2" t="s">
        <v>630</v>
      </c>
      <c r="D1316" s="2" t="s">
        <v>585</v>
      </c>
      <c r="E1316" s="2" t="s">
        <v>167</v>
      </c>
    </row>
    <row r="1317" customFormat="false" ht="15" hidden="false" customHeight="false" outlineLevel="0" collapsed="false">
      <c r="A1317" s="2" t="s">
        <v>248</v>
      </c>
      <c r="B1317" s="2" t="s">
        <v>667</v>
      </c>
      <c r="C1317" s="2" t="s">
        <v>638</v>
      </c>
      <c r="D1317" s="2" t="s">
        <v>668</v>
      </c>
      <c r="E1317" s="2" t="s">
        <v>166</v>
      </c>
    </row>
    <row r="1318" customFormat="false" ht="15" hidden="false" customHeight="false" outlineLevel="0" collapsed="false">
      <c r="A1318" s="2" t="s">
        <v>248</v>
      </c>
      <c r="B1318" s="2" t="s">
        <v>669</v>
      </c>
      <c r="C1318" s="2" t="s">
        <v>636</v>
      </c>
      <c r="D1318" s="2" t="s">
        <v>670</v>
      </c>
      <c r="E1318" s="2" t="s">
        <v>166</v>
      </c>
    </row>
    <row r="1319" customFormat="false" ht="15" hidden="false" customHeight="false" outlineLevel="0" collapsed="false">
      <c r="A1319" s="2" t="s">
        <v>248</v>
      </c>
      <c r="B1319" s="2" t="s">
        <v>671</v>
      </c>
      <c r="C1319" s="2" t="s">
        <v>632</v>
      </c>
      <c r="D1319" s="2" t="s">
        <v>672</v>
      </c>
      <c r="E1319" s="2" t="s">
        <v>166</v>
      </c>
    </row>
    <row r="1320" customFormat="false" ht="15" hidden="false" customHeight="false" outlineLevel="0" collapsed="false">
      <c r="A1320" s="2" t="s">
        <v>248</v>
      </c>
      <c r="B1320" s="2" t="s">
        <v>675</v>
      </c>
      <c r="C1320" s="2" t="s">
        <v>632</v>
      </c>
      <c r="D1320" s="2" t="s">
        <v>523</v>
      </c>
      <c r="E1320" s="2" t="s">
        <v>168</v>
      </c>
    </row>
    <row r="1321" customFormat="false" ht="15" hidden="false" customHeight="false" outlineLevel="0" collapsed="false">
      <c r="A1321" s="2" t="s">
        <v>248</v>
      </c>
      <c r="B1321" s="2" t="s">
        <v>412</v>
      </c>
      <c r="C1321" s="2" t="s">
        <v>632</v>
      </c>
      <c r="D1321" s="2" t="s">
        <v>523</v>
      </c>
      <c r="E1321" s="2" t="s">
        <v>168</v>
      </c>
    </row>
    <row r="1322" customFormat="false" ht="15" hidden="false" customHeight="false" outlineLevel="0" collapsed="false">
      <c r="A1322" s="2" t="s">
        <v>248</v>
      </c>
      <c r="B1322" s="2" t="s">
        <v>693</v>
      </c>
      <c r="C1322" s="2" t="s">
        <v>632</v>
      </c>
      <c r="D1322" s="2" t="s">
        <v>523</v>
      </c>
      <c r="E1322" s="2" t="s">
        <v>170</v>
      </c>
    </row>
    <row r="1323" customFormat="false" ht="15" hidden="false" customHeight="false" outlineLevel="0" collapsed="false">
      <c r="A1323" s="2" t="s">
        <v>248</v>
      </c>
      <c r="B1323" s="2" t="s">
        <v>694</v>
      </c>
      <c r="C1323" s="2" t="s">
        <v>633</v>
      </c>
      <c r="D1323" s="2" t="s">
        <v>677</v>
      </c>
      <c r="E1323" s="2" t="s">
        <v>166</v>
      </c>
    </row>
    <row r="1324" customFormat="false" ht="15" hidden="false" customHeight="false" outlineLevel="0" collapsed="false">
      <c r="A1324" s="2" t="s">
        <v>248</v>
      </c>
      <c r="B1324" s="2" t="s">
        <v>678</v>
      </c>
      <c r="C1324" s="2" t="s">
        <v>634</v>
      </c>
      <c r="D1324" s="2" t="s">
        <v>695</v>
      </c>
      <c r="E1324" s="2" t="s">
        <v>169</v>
      </c>
    </row>
    <row r="1325" customFormat="false" ht="15" hidden="false" customHeight="false" outlineLevel="0" collapsed="false">
      <c r="A1325" s="2" t="s">
        <v>248</v>
      </c>
      <c r="B1325" s="2" t="s">
        <v>680</v>
      </c>
      <c r="C1325" s="2" t="s">
        <v>629</v>
      </c>
      <c r="D1325" s="2" t="s">
        <v>681</v>
      </c>
      <c r="E1325" s="2" t="s">
        <v>169</v>
      </c>
    </row>
    <row r="1326" customFormat="false" ht="15" hidden="false" customHeight="false" outlineLevel="0" collapsed="false">
      <c r="A1326" s="2" t="s">
        <v>248</v>
      </c>
      <c r="B1326" s="2" t="s">
        <v>370</v>
      </c>
      <c r="C1326" s="2" t="s">
        <v>627</v>
      </c>
      <c r="D1326" s="2" t="s">
        <v>682</v>
      </c>
      <c r="E1326" s="2" t="s">
        <v>166</v>
      </c>
    </row>
    <row r="1327" customFormat="false" ht="15" hidden="false" customHeight="false" outlineLevel="0" collapsed="false">
      <c r="A1327" s="2" t="s">
        <v>248</v>
      </c>
      <c r="B1327" s="2" t="s">
        <v>696</v>
      </c>
      <c r="C1327" s="2" t="s">
        <v>627</v>
      </c>
      <c r="D1327" s="2" t="s">
        <v>402</v>
      </c>
      <c r="E1327" s="2" t="s">
        <v>168</v>
      </c>
    </row>
    <row r="1328" customFormat="false" ht="15" hidden="false" customHeight="false" outlineLevel="0" collapsed="false">
      <c r="A1328" s="2" t="s">
        <v>248</v>
      </c>
      <c r="B1328" s="2" t="s">
        <v>697</v>
      </c>
      <c r="C1328" s="2" t="s">
        <v>627</v>
      </c>
      <c r="D1328" s="2" t="s">
        <v>402</v>
      </c>
      <c r="E1328" s="2" t="s">
        <v>168</v>
      </c>
    </row>
    <row r="1329" customFormat="false" ht="15" hidden="false" customHeight="false" outlineLevel="0" collapsed="false">
      <c r="A1329" s="2" t="s">
        <v>248</v>
      </c>
      <c r="B1329" s="2" t="s">
        <v>683</v>
      </c>
      <c r="C1329" s="2" t="s">
        <v>627</v>
      </c>
      <c r="D1329" s="2" t="s">
        <v>402</v>
      </c>
      <c r="E1329" s="2" t="s">
        <v>168</v>
      </c>
    </row>
    <row r="1330" customFormat="false" ht="15" hidden="false" customHeight="false" outlineLevel="0" collapsed="false">
      <c r="A1330" s="2" t="s">
        <v>248</v>
      </c>
      <c r="B1330" s="2" t="s">
        <v>684</v>
      </c>
      <c r="C1330" s="2" t="s">
        <v>627</v>
      </c>
      <c r="D1330" s="2" t="s">
        <v>402</v>
      </c>
      <c r="E1330" s="2" t="s">
        <v>168</v>
      </c>
    </row>
    <row r="1331" customFormat="false" ht="15" hidden="false" customHeight="false" outlineLevel="0" collapsed="false">
      <c r="A1331" s="2" t="s">
        <v>248</v>
      </c>
      <c r="B1331" s="2" t="s">
        <v>410</v>
      </c>
      <c r="C1331" s="2" t="s">
        <v>627</v>
      </c>
      <c r="D1331" s="2" t="s">
        <v>402</v>
      </c>
      <c r="E1331" s="2" t="s">
        <v>168</v>
      </c>
    </row>
    <row r="1332" customFormat="false" ht="15" hidden="false" customHeight="false" outlineLevel="0" collapsed="false">
      <c r="A1332" s="2" t="s">
        <v>248</v>
      </c>
      <c r="B1332" s="2" t="s">
        <v>686</v>
      </c>
      <c r="C1332" s="2" t="s">
        <v>628</v>
      </c>
      <c r="D1332" s="2" t="s">
        <v>687</v>
      </c>
      <c r="E1332" s="2" t="s">
        <v>166</v>
      </c>
    </row>
    <row r="1333" customFormat="false" ht="15" hidden="false" customHeight="false" outlineLevel="0" collapsed="false">
      <c r="A1333" s="2" t="s">
        <v>248</v>
      </c>
      <c r="B1333" s="2" t="s">
        <v>705</v>
      </c>
      <c r="C1333" s="2" t="s">
        <v>639</v>
      </c>
      <c r="D1333" s="2" t="s">
        <v>598</v>
      </c>
      <c r="E1333" s="2" t="s">
        <v>170</v>
      </c>
    </row>
    <row r="1334" customFormat="false" ht="15" hidden="false" customHeight="false" outlineLevel="0" collapsed="false">
      <c r="A1334" s="2" t="s">
        <v>248</v>
      </c>
      <c r="B1334" s="2" t="s">
        <v>705</v>
      </c>
      <c r="C1334" s="2" t="s">
        <v>639</v>
      </c>
      <c r="D1334" s="2" t="s">
        <v>598</v>
      </c>
      <c r="E1334" s="2" t="s">
        <v>170</v>
      </c>
    </row>
    <row r="1335" customFormat="false" ht="15" hidden="false" customHeight="false" outlineLevel="0" collapsed="false">
      <c r="A1335" s="2" t="s">
        <v>248</v>
      </c>
      <c r="B1335" s="2" t="s">
        <v>688</v>
      </c>
      <c r="C1335" s="2" t="s">
        <v>645</v>
      </c>
      <c r="D1335" s="2" t="s">
        <v>373</v>
      </c>
      <c r="E1335" s="2" t="s">
        <v>170</v>
      </c>
    </row>
    <row r="1336" customFormat="false" ht="15" hidden="false" customHeight="false" outlineLevel="0" collapsed="false">
      <c r="A1336" s="2" t="s">
        <v>249</v>
      </c>
      <c r="B1336" s="2" t="s">
        <v>649</v>
      </c>
      <c r="C1336" s="2" t="s">
        <v>635</v>
      </c>
      <c r="D1336" s="2" t="s">
        <v>487</v>
      </c>
      <c r="E1336" s="2" t="s">
        <v>166</v>
      </c>
    </row>
    <row r="1337" customFormat="false" ht="15" hidden="false" customHeight="false" outlineLevel="0" collapsed="false">
      <c r="A1337" s="2" t="s">
        <v>249</v>
      </c>
      <c r="B1337" s="2" t="s">
        <v>650</v>
      </c>
      <c r="C1337" s="2" t="s">
        <v>635</v>
      </c>
      <c r="D1337" s="2" t="s">
        <v>651</v>
      </c>
      <c r="E1337" s="2" t="s">
        <v>169</v>
      </c>
    </row>
    <row r="1338" customFormat="false" ht="15" hidden="false" customHeight="false" outlineLevel="0" collapsed="false">
      <c r="A1338" s="2" t="s">
        <v>249</v>
      </c>
      <c r="B1338" s="2" t="s">
        <v>652</v>
      </c>
      <c r="C1338" s="2" t="s">
        <v>635</v>
      </c>
      <c r="D1338" s="2" t="s">
        <v>653</v>
      </c>
      <c r="E1338" s="2" t="s">
        <v>169</v>
      </c>
    </row>
    <row r="1339" customFormat="false" ht="15" hidden="false" customHeight="false" outlineLevel="0" collapsed="false">
      <c r="A1339" s="2" t="s">
        <v>249</v>
      </c>
      <c r="B1339" s="2" t="s">
        <v>654</v>
      </c>
      <c r="C1339" s="2" t="s">
        <v>635</v>
      </c>
      <c r="D1339" s="2" t="s">
        <v>655</v>
      </c>
      <c r="E1339" s="2" t="s">
        <v>169</v>
      </c>
    </row>
    <row r="1340" customFormat="false" ht="15" hidden="false" customHeight="false" outlineLevel="0" collapsed="false">
      <c r="A1340" s="2" t="s">
        <v>249</v>
      </c>
      <c r="B1340" s="2" t="s">
        <v>656</v>
      </c>
      <c r="C1340" s="2" t="s">
        <v>642</v>
      </c>
      <c r="D1340" s="2" t="s">
        <v>487</v>
      </c>
      <c r="E1340" s="2" t="s">
        <v>166</v>
      </c>
    </row>
    <row r="1341" customFormat="false" ht="15" hidden="false" customHeight="false" outlineLevel="0" collapsed="false">
      <c r="A1341" s="2" t="s">
        <v>249</v>
      </c>
      <c r="B1341" s="2" t="s">
        <v>320</v>
      </c>
      <c r="C1341" s="2" t="s">
        <v>642</v>
      </c>
      <c r="D1341" s="2" t="s">
        <v>579</v>
      </c>
      <c r="E1341" s="2" t="s">
        <v>167</v>
      </c>
    </row>
    <row r="1342" customFormat="false" ht="15" hidden="false" customHeight="false" outlineLevel="0" collapsed="false">
      <c r="A1342" s="2" t="s">
        <v>249</v>
      </c>
      <c r="B1342" s="2" t="s">
        <v>658</v>
      </c>
      <c r="C1342" s="2" t="s">
        <v>642</v>
      </c>
      <c r="D1342" s="2" t="s">
        <v>487</v>
      </c>
      <c r="E1342" s="2" t="s">
        <v>166</v>
      </c>
    </row>
    <row r="1343" customFormat="false" ht="15" hidden="false" customHeight="false" outlineLevel="0" collapsed="false">
      <c r="A1343" s="2" t="s">
        <v>249</v>
      </c>
      <c r="B1343" s="2" t="s">
        <v>324</v>
      </c>
      <c r="C1343" s="2" t="s">
        <v>642</v>
      </c>
      <c r="D1343" s="2" t="s">
        <v>610</v>
      </c>
      <c r="E1343" s="2" t="s">
        <v>166</v>
      </c>
    </row>
    <row r="1344" customFormat="false" ht="15" hidden="false" customHeight="false" outlineLevel="0" collapsed="false">
      <c r="A1344" s="2" t="s">
        <v>249</v>
      </c>
      <c r="B1344" s="2" t="s">
        <v>704</v>
      </c>
      <c r="C1344" s="2" t="s">
        <v>643</v>
      </c>
      <c r="D1344" s="2" t="s">
        <v>494</v>
      </c>
      <c r="E1344" s="2" t="s">
        <v>167</v>
      </c>
    </row>
    <row r="1345" customFormat="false" ht="15" hidden="false" customHeight="false" outlineLevel="0" collapsed="false">
      <c r="A1345" s="2" t="s">
        <v>249</v>
      </c>
      <c r="B1345" s="2" t="s">
        <v>660</v>
      </c>
      <c r="C1345" s="2" t="s">
        <v>640</v>
      </c>
      <c r="D1345" s="2" t="s">
        <v>355</v>
      </c>
      <c r="E1345" s="2" t="s">
        <v>166</v>
      </c>
    </row>
    <row r="1346" customFormat="false" ht="15" hidden="false" customHeight="false" outlineLevel="0" collapsed="false">
      <c r="A1346" s="2" t="s">
        <v>249</v>
      </c>
      <c r="B1346" s="2" t="s">
        <v>661</v>
      </c>
      <c r="C1346" s="2" t="s">
        <v>641</v>
      </c>
      <c r="D1346" s="2" t="s">
        <v>355</v>
      </c>
      <c r="E1346" s="2" t="s">
        <v>166</v>
      </c>
    </row>
    <row r="1347" customFormat="false" ht="15" hidden="false" customHeight="false" outlineLevel="0" collapsed="false">
      <c r="A1347" s="2" t="s">
        <v>249</v>
      </c>
      <c r="B1347" s="2" t="s">
        <v>707</v>
      </c>
      <c r="C1347" s="2" t="s">
        <v>637</v>
      </c>
      <c r="D1347" s="2" t="s">
        <v>505</v>
      </c>
      <c r="E1347" s="2" t="s">
        <v>166</v>
      </c>
    </row>
    <row r="1348" customFormat="false" ht="15" hidden="false" customHeight="false" outlineLevel="0" collapsed="false">
      <c r="A1348" s="2" t="s">
        <v>249</v>
      </c>
      <c r="B1348" s="2" t="s">
        <v>716</v>
      </c>
      <c r="C1348" s="2" t="s">
        <v>512</v>
      </c>
      <c r="D1348" s="2" t="s">
        <v>510</v>
      </c>
      <c r="E1348" s="2" t="s">
        <v>166</v>
      </c>
    </row>
    <row r="1349" customFormat="false" ht="15" hidden="false" customHeight="false" outlineLevel="0" collapsed="false">
      <c r="A1349" s="2" t="s">
        <v>249</v>
      </c>
      <c r="B1349" s="2" t="s">
        <v>662</v>
      </c>
      <c r="C1349" s="2" t="s">
        <v>630</v>
      </c>
      <c r="D1349" s="2" t="s">
        <v>585</v>
      </c>
      <c r="E1349" s="2" t="s">
        <v>167</v>
      </c>
    </row>
    <row r="1350" customFormat="false" ht="15" hidden="false" customHeight="false" outlineLevel="0" collapsed="false">
      <c r="A1350" s="2" t="s">
        <v>249</v>
      </c>
      <c r="B1350" s="2" t="s">
        <v>667</v>
      </c>
      <c r="C1350" s="2" t="s">
        <v>638</v>
      </c>
      <c r="D1350" s="2" t="s">
        <v>668</v>
      </c>
      <c r="E1350" s="2" t="s">
        <v>166</v>
      </c>
    </row>
    <row r="1351" customFormat="false" ht="15" hidden="false" customHeight="false" outlineLevel="0" collapsed="false">
      <c r="A1351" s="2" t="s">
        <v>249</v>
      </c>
      <c r="B1351" s="2" t="s">
        <v>669</v>
      </c>
      <c r="C1351" s="2" t="s">
        <v>636</v>
      </c>
      <c r="D1351" s="2" t="s">
        <v>670</v>
      </c>
      <c r="E1351" s="2" t="s">
        <v>166</v>
      </c>
    </row>
    <row r="1352" customFormat="false" ht="15" hidden="false" customHeight="false" outlineLevel="0" collapsed="false">
      <c r="A1352" s="2" t="s">
        <v>249</v>
      </c>
      <c r="B1352" s="2" t="s">
        <v>671</v>
      </c>
      <c r="C1352" s="2" t="s">
        <v>632</v>
      </c>
      <c r="D1352" s="2" t="s">
        <v>672</v>
      </c>
      <c r="E1352" s="2" t="s">
        <v>166</v>
      </c>
    </row>
    <row r="1353" customFormat="false" ht="15" hidden="false" customHeight="false" outlineLevel="0" collapsed="false">
      <c r="A1353" s="2" t="s">
        <v>249</v>
      </c>
      <c r="B1353" s="2" t="s">
        <v>673</v>
      </c>
      <c r="C1353" s="2" t="s">
        <v>632</v>
      </c>
      <c r="D1353" s="2" t="s">
        <v>523</v>
      </c>
      <c r="E1353" s="2" t="s">
        <v>168</v>
      </c>
    </row>
    <row r="1354" customFormat="false" ht="15" hidden="false" customHeight="false" outlineLevel="0" collapsed="false">
      <c r="A1354" s="2" t="s">
        <v>249</v>
      </c>
      <c r="B1354" s="2" t="s">
        <v>674</v>
      </c>
      <c r="C1354" s="2" t="s">
        <v>632</v>
      </c>
      <c r="D1354" s="2" t="s">
        <v>523</v>
      </c>
      <c r="E1354" s="2" t="s">
        <v>168</v>
      </c>
    </row>
    <row r="1355" customFormat="false" ht="15" hidden="false" customHeight="false" outlineLevel="0" collapsed="false">
      <c r="A1355" s="2" t="s">
        <v>249</v>
      </c>
      <c r="B1355" s="2" t="s">
        <v>692</v>
      </c>
      <c r="C1355" s="2" t="s">
        <v>632</v>
      </c>
      <c r="D1355" s="2" t="s">
        <v>523</v>
      </c>
      <c r="E1355" s="2" t="s">
        <v>168</v>
      </c>
    </row>
    <row r="1356" customFormat="false" ht="15" hidden="false" customHeight="false" outlineLevel="0" collapsed="false">
      <c r="A1356" s="2" t="s">
        <v>249</v>
      </c>
      <c r="B1356" s="2" t="s">
        <v>675</v>
      </c>
      <c r="C1356" s="2" t="s">
        <v>632</v>
      </c>
      <c r="D1356" s="2" t="s">
        <v>523</v>
      </c>
      <c r="E1356" s="2" t="s">
        <v>168</v>
      </c>
    </row>
    <row r="1357" customFormat="false" ht="15" hidden="false" customHeight="false" outlineLevel="0" collapsed="false">
      <c r="A1357" s="2" t="s">
        <v>249</v>
      </c>
      <c r="B1357" s="2" t="s">
        <v>702</v>
      </c>
      <c r="C1357" s="2" t="s">
        <v>632</v>
      </c>
      <c r="D1357" s="2" t="s">
        <v>523</v>
      </c>
      <c r="E1357" s="2" t="s">
        <v>168</v>
      </c>
    </row>
    <row r="1358" customFormat="false" ht="15" hidden="false" customHeight="false" outlineLevel="0" collapsed="false">
      <c r="A1358" s="2" t="s">
        <v>249</v>
      </c>
      <c r="B1358" s="2" t="s">
        <v>412</v>
      </c>
      <c r="C1358" s="2" t="s">
        <v>632</v>
      </c>
      <c r="D1358" s="2" t="s">
        <v>523</v>
      </c>
      <c r="E1358" s="2" t="s">
        <v>168</v>
      </c>
    </row>
    <row r="1359" customFormat="false" ht="15" hidden="false" customHeight="false" outlineLevel="0" collapsed="false">
      <c r="A1359" s="2" t="s">
        <v>249</v>
      </c>
      <c r="B1359" s="2" t="s">
        <v>676</v>
      </c>
      <c r="C1359" s="2" t="s">
        <v>633</v>
      </c>
      <c r="D1359" s="2" t="s">
        <v>677</v>
      </c>
      <c r="E1359" s="2" t="s">
        <v>166</v>
      </c>
    </row>
    <row r="1360" customFormat="false" ht="15" hidden="false" customHeight="false" outlineLevel="0" collapsed="false">
      <c r="A1360" s="2" t="s">
        <v>249</v>
      </c>
      <c r="B1360" s="2" t="s">
        <v>678</v>
      </c>
      <c r="C1360" s="2" t="s">
        <v>634</v>
      </c>
      <c r="D1360" s="2" t="s">
        <v>679</v>
      </c>
      <c r="E1360" s="2" t="s">
        <v>166</v>
      </c>
    </row>
    <row r="1361" customFormat="false" ht="15" hidden="false" customHeight="false" outlineLevel="0" collapsed="false">
      <c r="A1361" s="2" t="s">
        <v>249</v>
      </c>
      <c r="B1361" s="2" t="s">
        <v>680</v>
      </c>
      <c r="C1361" s="2" t="s">
        <v>629</v>
      </c>
      <c r="D1361" s="2" t="s">
        <v>703</v>
      </c>
      <c r="E1361" s="2" t="s">
        <v>166</v>
      </c>
    </row>
    <row r="1362" customFormat="false" ht="15" hidden="false" customHeight="false" outlineLevel="0" collapsed="false">
      <c r="A1362" s="2" t="s">
        <v>249</v>
      </c>
      <c r="B1362" s="2" t="s">
        <v>370</v>
      </c>
      <c r="C1362" s="2" t="s">
        <v>627</v>
      </c>
      <c r="D1362" s="2" t="s">
        <v>682</v>
      </c>
      <c r="E1362" s="2" t="s">
        <v>166</v>
      </c>
    </row>
    <row r="1363" customFormat="false" ht="15" hidden="false" customHeight="false" outlineLevel="0" collapsed="false">
      <c r="A1363" s="2" t="s">
        <v>249</v>
      </c>
      <c r="B1363" s="2" t="s">
        <v>684</v>
      </c>
      <c r="C1363" s="2" t="s">
        <v>627</v>
      </c>
      <c r="D1363" s="2" t="s">
        <v>402</v>
      </c>
      <c r="E1363" s="2" t="s">
        <v>168</v>
      </c>
    </row>
    <row r="1364" customFormat="false" ht="15" hidden="false" customHeight="false" outlineLevel="0" collapsed="false">
      <c r="A1364" s="2" t="s">
        <v>249</v>
      </c>
      <c r="B1364" s="2" t="s">
        <v>410</v>
      </c>
      <c r="C1364" s="2" t="s">
        <v>627</v>
      </c>
      <c r="D1364" s="2" t="s">
        <v>402</v>
      </c>
      <c r="E1364" s="2" t="s">
        <v>168</v>
      </c>
    </row>
    <row r="1365" customFormat="false" ht="15" hidden="false" customHeight="false" outlineLevel="0" collapsed="false">
      <c r="A1365" s="2" t="s">
        <v>249</v>
      </c>
      <c r="B1365" s="2" t="s">
        <v>685</v>
      </c>
      <c r="C1365" s="2" t="s">
        <v>627</v>
      </c>
      <c r="D1365" s="2" t="s">
        <v>402</v>
      </c>
      <c r="E1365" s="2" t="s">
        <v>170</v>
      </c>
    </row>
    <row r="1366" customFormat="false" ht="15" hidden="false" customHeight="false" outlineLevel="0" collapsed="false">
      <c r="A1366" s="2" t="s">
        <v>249</v>
      </c>
      <c r="B1366" s="2" t="s">
        <v>686</v>
      </c>
      <c r="C1366" s="2" t="s">
        <v>628</v>
      </c>
      <c r="D1366" s="2" t="s">
        <v>687</v>
      </c>
      <c r="E1366" s="2" t="s">
        <v>166</v>
      </c>
    </row>
    <row r="1367" customFormat="false" ht="15" hidden="false" customHeight="false" outlineLevel="0" collapsed="false">
      <c r="A1367" s="2" t="s">
        <v>249</v>
      </c>
      <c r="B1367" s="2" t="s">
        <v>705</v>
      </c>
      <c r="C1367" s="2" t="s">
        <v>639</v>
      </c>
      <c r="D1367" s="2" t="s">
        <v>598</v>
      </c>
      <c r="E1367" s="2" t="s">
        <v>170</v>
      </c>
    </row>
    <row r="1368" customFormat="false" ht="15" hidden="false" customHeight="false" outlineLevel="0" collapsed="false">
      <c r="A1368" s="2" t="s">
        <v>249</v>
      </c>
      <c r="B1368" s="2" t="s">
        <v>705</v>
      </c>
      <c r="C1368" s="2" t="s">
        <v>639</v>
      </c>
      <c r="D1368" s="2" t="s">
        <v>598</v>
      </c>
      <c r="E1368" s="2" t="s">
        <v>170</v>
      </c>
    </row>
    <row r="1369" customFormat="false" ht="15" hidden="false" customHeight="false" outlineLevel="0" collapsed="false">
      <c r="A1369" s="2" t="s">
        <v>249</v>
      </c>
      <c r="B1369" s="2" t="s">
        <v>711</v>
      </c>
      <c r="C1369" s="2" t="s">
        <v>644</v>
      </c>
      <c r="D1369" s="2" t="s">
        <v>604</v>
      </c>
      <c r="E1369" s="2" t="s">
        <v>170</v>
      </c>
    </row>
    <row r="1370" customFormat="false" ht="15" hidden="false" customHeight="false" outlineLevel="0" collapsed="false">
      <c r="A1370" s="2" t="s">
        <v>249</v>
      </c>
      <c r="B1370" s="2" t="s">
        <v>688</v>
      </c>
      <c r="C1370" s="2" t="s">
        <v>645</v>
      </c>
      <c r="D1370" s="2" t="s">
        <v>373</v>
      </c>
      <c r="E1370" s="2" t="s">
        <v>170</v>
      </c>
    </row>
    <row r="1371" customFormat="false" ht="15" hidden="false" customHeight="false" outlineLevel="0" collapsed="false">
      <c r="A1371" s="2" t="s">
        <v>251</v>
      </c>
      <c r="B1371" s="2" t="s">
        <v>649</v>
      </c>
      <c r="C1371" s="2" t="s">
        <v>635</v>
      </c>
      <c r="D1371" s="2" t="s">
        <v>487</v>
      </c>
      <c r="E1371" s="2" t="s">
        <v>166</v>
      </c>
    </row>
    <row r="1372" customFormat="false" ht="15" hidden="false" customHeight="false" outlineLevel="0" collapsed="false">
      <c r="A1372" s="2" t="s">
        <v>251</v>
      </c>
      <c r="B1372" s="2" t="s">
        <v>650</v>
      </c>
      <c r="C1372" s="2" t="s">
        <v>635</v>
      </c>
      <c r="D1372" s="2" t="s">
        <v>651</v>
      </c>
      <c r="E1372" s="2" t="s">
        <v>169</v>
      </c>
    </row>
    <row r="1373" customFormat="false" ht="15" hidden="false" customHeight="false" outlineLevel="0" collapsed="false">
      <c r="A1373" s="2" t="s">
        <v>251</v>
      </c>
      <c r="B1373" s="2" t="s">
        <v>652</v>
      </c>
      <c r="C1373" s="2" t="s">
        <v>635</v>
      </c>
      <c r="D1373" s="2" t="s">
        <v>653</v>
      </c>
      <c r="E1373" s="2" t="s">
        <v>169</v>
      </c>
    </row>
    <row r="1374" customFormat="false" ht="15" hidden="false" customHeight="false" outlineLevel="0" collapsed="false">
      <c r="A1374" s="2" t="s">
        <v>251</v>
      </c>
      <c r="B1374" s="2" t="s">
        <v>654</v>
      </c>
      <c r="C1374" s="2" t="s">
        <v>635</v>
      </c>
      <c r="D1374" s="2" t="s">
        <v>655</v>
      </c>
      <c r="E1374" s="2" t="s">
        <v>169</v>
      </c>
    </row>
    <row r="1375" customFormat="false" ht="15" hidden="false" customHeight="false" outlineLevel="0" collapsed="false">
      <c r="A1375" s="2" t="s">
        <v>251</v>
      </c>
      <c r="B1375" s="2" t="s">
        <v>656</v>
      </c>
      <c r="C1375" s="2" t="s">
        <v>642</v>
      </c>
      <c r="D1375" s="2" t="s">
        <v>487</v>
      </c>
      <c r="E1375" s="2" t="s">
        <v>166</v>
      </c>
    </row>
    <row r="1376" customFormat="false" ht="15" hidden="false" customHeight="false" outlineLevel="0" collapsed="false">
      <c r="A1376" s="2" t="s">
        <v>251</v>
      </c>
      <c r="B1376" s="2" t="s">
        <v>320</v>
      </c>
      <c r="C1376" s="2" t="s">
        <v>642</v>
      </c>
      <c r="D1376" s="2" t="s">
        <v>657</v>
      </c>
      <c r="E1376" s="2" t="s">
        <v>169</v>
      </c>
    </row>
    <row r="1377" customFormat="false" ht="15" hidden="false" customHeight="false" outlineLevel="0" collapsed="false">
      <c r="A1377" s="2" t="s">
        <v>251</v>
      </c>
      <c r="B1377" s="2" t="s">
        <v>658</v>
      </c>
      <c r="C1377" s="2" t="s">
        <v>642</v>
      </c>
      <c r="D1377" s="2" t="s">
        <v>487</v>
      </c>
      <c r="E1377" s="2" t="s">
        <v>166</v>
      </c>
    </row>
    <row r="1378" customFormat="false" ht="15" hidden="false" customHeight="false" outlineLevel="0" collapsed="false">
      <c r="A1378" s="2" t="s">
        <v>251</v>
      </c>
      <c r="B1378" s="2" t="s">
        <v>324</v>
      </c>
      <c r="C1378" s="2" t="s">
        <v>642</v>
      </c>
      <c r="D1378" s="2" t="s">
        <v>610</v>
      </c>
      <c r="E1378" s="2" t="s">
        <v>166</v>
      </c>
    </row>
    <row r="1379" customFormat="false" ht="15" hidden="false" customHeight="false" outlineLevel="0" collapsed="false">
      <c r="A1379" s="2" t="s">
        <v>251</v>
      </c>
      <c r="B1379" s="2" t="s">
        <v>660</v>
      </c>
      <c r="C1379" s="2" t="s">
        <v>640</v>
      </c>
      <c r="D1379" s="2" t="s">
        <v>355</v>
      </c>
      <c r="E1379" s="2" t="s">
        <v>166</v>
      </c>
    </row>
    <row r="1380" customFormat="false" ht="15" hidden="false" customHeight="false" outlineLevel="0" collapsed="false">
      <c r="A1380" s="2" t="s">
        <v>251</v>
      </c>
      <c r="B1380" s="2" t="s">
        <v>661</v>
      </c>
      <c r="C1380" s="2" t="s">
        <v>641</v>
      </c>
      <c r="D1380" s="2" t="s">
        <v>355</v>
      </c>
      <c r="E1380" s="2" t="s">
        <v>166</v>
      </c>
    </row>
    <row r="1381" customFormat="false" ht="15" hidden="false" customHeight="false" outlineLevel="0" collapsed="false">
      <c r="A1381" s="2" t="s">
        <v>251</v>
      </c>
      <c r="B1381" s="2" t="s">
        <v>662</v>
      </c>
      <c r="C1381" s="2" t="s">
        <v>630</v>
      </c>
      <c r="D1381" s="2" t="s">
        <v>585</v>
      </c>
      <c r="E1381" s="2" t="s">
        <v>167</v>
      </c>
    </row>
    <row r="1382" customFormat="false" ht="15" hidden="false" customHeight="false" outlineLevel="0" collapsed="false">
      <c r="A1382" s="2" t="s">
        <v>251</v>
      </c>
      <c r="B1382" s="2" t="s">
        <v>667</v>
      </c>
      <c r="C1382" s="2" t="s">
        <v>638</v>
      </c>
      <c r="D1382" s="2" t="s">
        <v>668</v>
      </c>
      <c r="E1382" s="2" t="s">
        <v>166</v>
      </c>
    </row>
    <row r="1383" customFormat="false" ht="15" hidden="false" customHeight="false" outlineLevel="0" collapsed="false">
      <c r="A1383" s="2" t="s">
        <v>251</v>
      </c>
      <c r="B1383" s="2" t="s">
        <v>669</v>
      </c>
      <c r="C1383" s="2" t="s">
        <v>636</v>
      </c>
      <c r="D1383" s="2" t="s">
        <v>670</v>
      </c>
      <c r="E1383" s="2" t="s">
        <v>166</v>
      </c>
    </row>
    <row r="1384" customFormat="false" ht="15" hidden="false" customHeight="false" outlineLevel="0" collapsed="false">
      <c r="A1384" s="2" t="s">
        <v>251</v>
      </c>
      <c r="B1384" s="2" t="s">
        <v>671</v>
      </c>
      <c r="C1384" s="2" t="s">
        <v>632</v>
      </c>
      <c r="D1384" s="2" t="s">
        <v>672</v>
      </c>
      <c r="E1384" s="2" t="s">
        <v>166</v>
      </c>
    </row>
    <row r="1385" customFormat="false" ht="15" hidden="false" customHeight="false" outlineLevel="0" collapsed="false">
      <c r="A1385" s="2" t="s">
        <v>251</v>
      </c>
      <c r="B1385" s="2" t="s">
        <v>673</v>
      </c>
      <c r="C1385" s="2" t="s">
        <v>632</v>
      </c>
      <c r="D1385" s="2" t="s">
        <v>523</v>
      </c>
      <c r="E1385" s="2" t="s">
        <v>168</v>
      </c>
    </row>
    <row r="1386" customFormat="false" ht="15" hidden="false" customHeight="false" outlineLevel="0" collapsed="false">
      <c r="A1386" s="2" t="s">
        <v>251</v>
      </c>
      <c r="B1386" s="2" t="s">
        <v>674</v>
      </c>
      <c r="C1386" s="2" t="s">
        <v>632</v>
      </c>
      <c r="D1386" s="2" t="s">
        <v>523</v>
      </c>
      <c r="E1386" s="2" t="s">
        <v>168</v>
      </c>
    </row>
    <row r="1387" customFormat="false" ht="15" hidden="false" customHeight="false" outlineLevel="0" collapsed="false">
      <c r="A1387" s="2" t="s">
        <v>251</v>
      </c>
      <c r="B1387" s="2" t="s">
        <v>675</v>
      </c>
      <c r="C1387" s="2" t="s">
        <v>632</v>
      </c>
      <c r="D1387" s="2" t="s">
        <v>523</v>
      </c>
      <c r="E1387" s="2" t="s">
        <v>168</v>
      </c>
    </row>
    <row r="1388" customFormat="false" ht="15" hidden="false" customHeight="false" outlineLevel="0" collapsed="false">
      <c r="A1388" s="2" t="s">
        <v>251</v>
      </c>
      <c r="B1388" s="2" t="s">
        <v>412</v>
      </c>
      <c r="C1388" s="2" t="s">
        <v>632</v>
      </c>
      <c r="D1388" s="2" t="s">
        <v>523</v>
      </c>
      <c r="E1388" s="2" t="s">
        <v>168</v>
      </c>
    </row>
    <row r="1389" customFormat="false" ht="15" hidden="false" customHeight="false" outlineLevel="0" collapsed="false">
      <c r="A1389" s="2" t="s">
        <v>251</v>
      </c>
      <c r="B1389" s="2" t="s">
        <v>694</v>
      </c>
      <c r="C1389" s="2" t="s">
        <v>633</v>
      </c>
      <c r="D1389" s="2" t="s">
        <v>677</v>
      </c>
      <c r="E1389" s="2" t="s">
        <v>166</v>
      </c>
    </row>
    <row r="1390" customFormat="false" ht="15" hidden="false" customHeight="false" outlineLevel="0" collapsed="false">
      <c r="A1390" s="2" t="s">
        <v>251</v>
      </c>
      <c r="B1390" s="2" t="s">
        <v>678</v>
      </c>
      <c r="C1390" s="2" t="s">
        <v>634</v>
      </c>
      <c r="D1390" s="2" t="s">
        <v>679</v>
      </c>
      <c r="E1390" s="2" t="s">
        <v>166</v>
      </c>
    </row>
    <row r="1391" customFormat="false" ht="15" hidden="false" customHeight="false" outlineLevel="0" collapsed="false">
      <c r="A1391" s="2" t="s">
        <v>251</v>
      </c>
      <c r="B1391" s="2" t="s">
        <v>680</v>
      </c>
      <c r="C1391" s="2" t="s">
        <v>629</v>
      </c>
      <c r="D1391" s="2" t="s">
        <v>681</v>
      </c>
      <c r="E1391" s="2" t="s">
        <v>169</v>
      </c>
    </row>
    <row r="1392" customFormat="false" ht="15" hidden="false" customHeight="false" outlineLevel="0" collapsed="false">
      <c r="A1392" s="2" t="s">
        <v>251</v>
      </c>
      <c r="B1392" s="2" t="s">
        <v>370</v>
      </c>
      <c r="C1392" s="2" t="s">
        <v>627</v>
      </c>
      <c r="D1392" s="2" t="s">
        <v>682</v>
      </c>
      <c r="E1392" s="2" t="s">
        <v>166</v>
      </c>
    </row>
    <row r="1393" customFormat="false" ht="15" hidden="false" customHeight="false" outlineLevel="0" collapsed="false">
      <c r="A1393" s="2" t="s">
        <v>251</v>
      </c>
      <c r="B1393" s="2" t="s">
        <v>683</v>
      </c>
      <c r="C1393" s="2" t="s">
        <v>627</v>
      </c>
      <c r="D1393" s="2" t="s">
        <v>402</v>
      </c>
      <c r="E1393" s="2" t="s">
        <v>168</v>
      </c>
    </row>
    <row r="1394" customFormat="false" ht="15" hidden="false" customHeight="false" outlineLevel="0" collapsed="false">
      <c r="A1394" s="2" t="s">
        <v>251</v>
      </c>
      <c r="B1394" s="2" t="s">
        <v>684</v>
      </c>
      <c r="C1394" s="2" t="s">
        <v>627</v>
      </c>
      <c r="D1394" s="2" t="s">
        <v>402</v>
      </c>
      <c r="E1394" s="2" t="s">
        <v>168</v>
      </c>
    </row>
    <row r="1395" customFormat="false" ht="15" hidden="false" customHeight="false" outlineLevel="0" collapsed="false">
      <c r="A1395" s="2" t="s">
        <v>251</v>
      </c>
      <c r="B1395" s="2" t="s">
        <v>410</v>
      </c>
      <c r="C1395" s="2" t="s">
        <v>627</v>
      </c>
      <c r="D1395" s="2" t="s">
        <v>402</v>
      </c>
      <c r="E1395" s="2" t="s">
        <v>168</v>
      </c>
    </row>
    <row r="1396" customFormat="false" ht="15" hidden="false" customHeight="false" outlineLevel="0" collapsed="false">
      <c r="A1396" s="2" t="s">
        <v>251</v>
      </c>
      <c r="B1396" s="2" t="s">
        <v>685</v>
      </c>
      <c r="C1396" s="2" t="s">
        <v>627</v>
      </c>
      <c r="D1396" s="2" t="s">
        <v>402</v>
      </c>
      <c r="E1396" s="2" t="s">
        <v>170</v>
      </c>
    </row>
    <row r="1397" customFormat="false" ht="15" hidden="false" customHeight="false" outlineLevel="0" collapsed="false">
      <c r="A1397" s="2" t="s">
        <v>251</v>
      </c>
      <c r="B1397" s="2" t="s">
        <v>686</v>
      </c>
      <c r="C1397" s="2" t="s">
        <v>628</v>
      </c>
      <c r="D1397" s="2" t="s">
        <v>687</v>
      </c>
      <c r="E1397" s="2" t="s">
        <v>166</v>
      </c>
    </row>
    <row r="1398" customFormat="false" ht="15" hidden="false" customHeight="false" outlineLevel="0" collapsed="false">
      <c r="A1398" s="2" t="s">
        <v>251</v>
      </c>
      <c r="B1398" s="2" t="s">
        <v>705</v>
      </c>
      <c r="C1398" s="2" t="s">
        <v>639</v>
      </c>
      <c r="D1398" s="2" t="s">
        <v>598</v>
      </c>
      <c r="E1398" s="2" t="s">
        <v>170</v>
      </c>
    </row>
    <row r="1399" customFormat="false" ht="15" hidden="false" customHeight="false" outlineLevel="0" collapsed="false">
      <c r="A1399" s="2" t="s">
        <v>251</v>
      </c>
      <c r="B1399" s="2" t="s">
        <v>705</v>
      </c>
      <c r="C1399" s="2" t="s">
        <v>639</v>
      </c>
      <c r="D1399" s="2" t="s">
        <v>598</v>
      </c>
      <c r="E1399" s="2" t="s">
        <v>170</v>
      </c>
    </row>
    <row r="1400" customFormat="false" ht="15" hidden="false" customHeight="false" outlineLevel="0" collapsed="false">
      <c r="A1400" s="2" t="s">
        <v>251</v>
      </c>
      <c r="B1400" s="2" t="s">
        <v>688</v>
      </c>
      <c r="C1400" s="2" t="s">
        <v>645</v>
      </c>
      <c r="D1400" s="2" t="s">
        <v>373</v>
      </c>
      <c r="E1400" s="2" t="s">
        <v>170</v>
      </c>
    </row>
    <row r="1401" customFormat="false" ht="15" hidden="false" customHeight="false" outlineLevel="0" collapsed="false">
      <c r="A1401" s="2" t="s">
        <v>252</v>
      </c>
      <c r="B1401" s="2" t="s">
        <v>649</v>
      </c>
      <c r="C1401" s="2" t="s">
        <v>635</v>
      </c>
      <c r="D1401" s="2" t="s">
        <v>487</v>
      </c>
      <c r="E1401" s="2" t="s">
        <v>166</v>
      </c>
    </row>
    <row r="1402" customFormat="false" ht="15" hidden="false" customHeight="false" outlineLevel="0" collapsed="false">
      <c r="A1402" s="2" t="s">
        <v>252</v>
      </c>
      <c r="B1402" s="2" t="s">
        <v>650</v>
      </c>
      <c r="C1402" s="2" t="s">
        <v>635</v>
      </c>
      <c r="D1402" s="2" t="s">
        <v>651</v>
      </c>
      <c r="E1402" s="2" t="s">
        <v>169</v>
      </c>
    </row>
    <row r="1403" customFormat="false" ht="15" hidden="false" customHeight="false" outlineLevel="0" collapsed="false">
      <c r="A1403" s="2" t="s">
        <v>252</v>
      </c>
      <c r="B1403" s="2" t="s">
        <v>652</v>
      </c>
      <c r="C1403" s="2" t="s">
        <v>635</v>
      </c>
      <c r="D1403" s="2" t="s">
        <v>653</v>
      </c>
      <c r="E1403" s="2" t="s">
        <v>169</v>
      </c>
    </row>
    <row r="1404" customFormat="false" ht="15" hidden="false" customHeight="false" outlineLevel="0" collapsed="false">
      <c r="A1404" s="2" t="s">
        <v>252</v>
      </c>
      <c r="B1404" s="2" t="s">
        <v>654</v>
      </c>
      <c r="C1404" s="2" t="s">
        <v>635</v>
      </c>
      <c r="D1404" s="2" t="s">
        <v>655</v>
      </c>
      <c r="E1404" s="2" t="s">
        <v>169</v>
      </c>
    </row>
    <row r="1405" customFormat="false" ht="15" hidden="false" customHeight="false" outlineLevel="0" collapsed="false">
      <c r="A1405" s="2" t="s">
        <v>252</v>
      </c>
      <c r="B1405" s="2" t="s">
        <v>656</v>
      </c>
      <c r="C1405" s="2" t="s">
        <v>642</v>
      </c>
      <c r="D1405" s="2" t="s">
        <v>487</v>
      </c>
      <c r="E1405" s="2" t="s">
        <v>166</v>
      </c>
    </row>
    <row r="1406" customFormat="false" ht="15" hidden="false" customHeight="false" outlineLevel="0" collapsed="false">
      <c r="A1406" s="2" t="s">
        <v>252</v>
      </c>
      <c r="B1406" s="2" t="s">
        <v>320</v>
      </c>
      <c r="C1406" s="2" t="s">
        <v>642</v>
      </c>
      <c r="D1406" s="2" t="s">
        <v>657</v>
      </c>
      <c r="E1406" s="2" t="s">
        <v>169</v>
      </c>
    </row>
    <row r="1407" customFormat="false" ht="15" hidden="false" customHeight="false" outlineLevel="0" collapsed="false">
      <c r="A1407" s="2" t="s">
        <v>252</v>
      </c>
      <c r="B1407" s="2" t="s">
        <v>658</v>
      </c>
      <c r="C1407" s="2" t="s">
        <v>642</v>
      </c>
      <c r="D1407" s="2" t="s">
        <v>487</v>
      </c>
      <c r="E1407" s="2" t="s">
        <v>166</v>
      </c>
    </row>
    <row r="1408" customFormat="false" ht="15" hidden="false" customHeight="false" outlineLevel="0" collapsed="false">
      <c r="A1408" s="2" t="s">
        <v>252</v>
      </c>
      <c r="B1408" s="2" t="s">
        <v>324</v>
      </c>
      <c r="C1408" s="2" t="s">
        <v>642</v>
      </c>
      <c r="D1408" s="2" t="s">
        <v>659</v>
      </c>
      <c r="E1408" s="2" t="s">
        <v>169</v>
      </c>
    </row>
    <row r="1409" customFormat="false" ht="15" hidden="false" customHeight="false" outlineLevel="0" collapsed="false">
      <c r="A1409" s="2" t="s">
        <v>252</v>
      </c>
      <c r="B1409" s="2" t="s">
        <v>660</v>
      </c>
      <c r="C1409" s="2" t="s">
        <v>640</v>
      </c>
      <c r="D1409" s="2" t="s">
        <v>355</v>
      </c>
      <c r="E1409" s="2" t="s">
        <v>166</v>
      </c>
    </row>
    <row r="1410" customFormat="false" ht="15" hidden="false" customHeight="false" outlineLevel="0" collapsed="false">
      <c r="A1410" s="2" t="s">
        <v>252</v>
      </c>
      <c r="B1410" s="2" t="s">
        <v>661</v>
      </c>
      <c r="C1410" s="2" t="s">
        <v>641</v>
      </c>
      <c r="D1410" s="2" t="s">
        <v>355</v>
      </c>
      <c r="E1410" s="2" t="s">
        <v>166</v>
      </c>
    </row>
    <row r="1411" customFormat="false" ht="15" hidden="false" customHeight="false" outlineLevel="0" collapsed="false">
      <c r="A1411" s="2" t="s">
        <v>252</v>
      </c>
      <c r="B1411" s="2" t="s">
        <v>662</v>
      </c>
      <c r="C1411" s="2" t="s">
        <v>630</v>
      </c>
      <c r="D1411" s="2" t="s">
        <v>585</v>
      </c>
      <c r="E1411" s="2" t="s">
        <v>167</v>
      </c>
    </row>
    <row r="1412" customFormat="false" ht="15" hidden="false" customHeight="false" outlineLevel="0" collapsed="false">
      <c r="A1412" s="2" t="s">
        <v>252</v>
      </c>
      <c r="B1412" s="2" t="s">
        <v>667</v>
      </c>
      <c r="C1412" s="2" t="s">
        <v>638</v>
      </c>
      <c r="D1412" s="2" t="s">
        <v>668</v>
      </c>
      <c r="E1412" s="2" t="s">
        <v>166</v>
      </c>
    </row>
    <row r="1413" customFormat="false" ht="15" hidden="false" customHeight="false" outlineLevel="0" collapsed="false">
      <c r="A1413" s="2" t="s">
        <v>252</v>
      </c>
      <c r="B1413" s="2" t="s">
        <v>669</v>
      </c>
      <c r="C1413" s="2" t="s">
        <v>636</v>
      </c>
      <c r="D1413" s="2" t="s">
        <v>670</v>
      </c>
      <c r="E1413" s="2" t="s">
        <v>166</v>
      </c>
    </row>
    <row r="1414" customFormat="false" ht="15" hidden="false" customHeight="false" outlineLevel="0" collapsed="false">
      <c r="A1414" s="2" t="s">
        <v>252</v>
      </c>
      <c r="B1414" s="2" t="s">
        <v>671</v>
      </c>
      <c r="C1414" s="2" t="s">
        <v>632</v>
      </c>
      <c r="D1414" s="2" t="s">
        <v>672</v>
      </c>
      <c r="E1414" s="2" t="s">
        <v>166</v>
      </c>
    </row>
    <row r="1415" customFormat="false" ht="15" hidden="false" customHeight="false" outlineLevel="0" collapsed="false">
      <c r="A1415" s="2" t="s">
        <v>252</v>
      </c>
      <c r="B1415" s="2" t="s">
        <v>673</v>
      </c>
      <c r="C1415" s="2" t="s">
        <v>632</v>
      </c>
      <c r="D1415" s="2" t="s">
        <v>523</v>
      </c>
      <c r="E1415" s="2" t="s">
        <v>168</v>
      </c>
    </row>
    <row r="1416" customFormat="false" ht="15" hidden="false" customHeight="false" outlineLevel="0" collapsed="false">
      <c r="A1416" s="2" t="s">
        <v>252</v>
      </c>
      <c r="B1416" s="2" t="s">
        <v>674</v>
      </c>
      <c r="C1416" s="2" t="s">
        <v>632</v>
      </c>
      <c r="D1416" s="2" t="s">
        <v>523</v>
      </c>
      <c r="E1416" s="2" t="s">
        <v>168</v>
      </c>
    </row>
    <row r="1417" customFormat="false" ht="15" hidden="false" customHeight="false" outlineLevel="0" collapsed="false">
      <c r="A1417" s="2" t="s">
        <v>252</v>
      </c>
      <c r="B1417" s="2" t="s">
        <v>692</v>
      </c>
      <c r="C1417" s="2" t="s">
        <v>632</v>
      </c>
      <c r="D1417" s="2" t="s">
        <v>523</v>
      </c>
      <c r="E1417" s="2" t="s">
        <v>168</v>
      </c>
    </row>
    <row r="1418" customFormat="false" ht="15" hidden="false" customHeight="false" outlineLevel="0" collapsed="false">
      <c r="A1418" s="2" t="s">
        <v>252</v>
      </c>
      <c r="B1418" s="2" t="s">
        <v>675</v>
      </c>
      <c r="C1418" s="2" t="s">
        <v>632</v>
      </c>
      <c r="D1418" s="2" t="s">
        <v>523</v>
      </c>
      <c r="E1418" s="2" t="s">
        <v>168</v>
      </c>
    </row>
    <row r="1419" customFormat="false" ht="15" hidden="false" customHeight="false" outlineLevel="0" collapsed="false">
      <c r="A1419" s="2" t="s">
        <v>252</v>
      </c>
      <c r="B1419" s="2" t="s">
        <v>702</v>
      </c>
      <c r="C1419" s="2" t="s">
        <v>632</v>
      </c>
      <c r="D1419" s="2" t="s">
        <v>523</v>
      </c>
      <c r="E1419" s="2" t="s">
        <v>168</v>
      </c>
    </row>
    <row r="1420" customFormat="false" ht="15" hidden="false" customHeight="false" outlineLevel="0" collapsed="false">
      <c r="A1420" s="2" t="s">
        <v>252</v>
      </c>
      <c r="B1420" s="2" t="s">
        <v>412</v>
      </c>
      <c r="C1420" s="2" t="s">
        <v>632</v>
      </c>
      <c r="D1420" s="2" t="s">
        <v>523</v>
      </c>
      <c r="E1420" s="2" t="s">
        <v>168</v>
      </c>
    </row>
    <row r="1421" customFormat="false" ht="15" hidden="false" customHeight="false" outlineLevel="0" collapsed="false">
      <c r="A1421" s="2" t="s">
        <v>252</v>
      </c>
      <c r="B1421" s="2" t="s">
        <v>676</v>
      </c>
      <c r="C1421" s="2" t="s">
        <v>633</v>
      </c>
      <c r="D1421" s="2" t="s">
        <v>677</v>
      </c>
      <c r="E1421" s="2" t="s">
        <v>166</v>
      </c>
    </row>
    <row r="1422" customFormat="false" ht="15" hidden="false" customHeight="false" outlineLevel="0" collapsed="false">
      <c r="A1422" s="2" t="s">
        <v>252</v>
      </c>
      <c r="B1422" s="2" t="s">
        <v>678</v>
      </c>
      <c r="C1422" s="2" t="s">
        <v>634</v>
      </c>
      <c r="D1422" s="2" t="s">
        <v>695</v>
      </c>
      <c r="E1422" s="2" t="s">
        <v>169</v>
      </c>
    </row>
    <row r="1423" customFormat="false" ht="15" hidden="false" customHeight="false" outlineLevel="0" collapsed="false">
      <c r="A1423" s="2" t="s">
        <v>252</v>
      </c>
      <c r="B1423" s="2" t="s">
        <v>680</v>
      </c>
      <c r="C1423" s="2" t="s">
        <v>629</v>
      </c>
      <c r="D1423" s="2" t="s">
        <v>681</v>
      </c>
      <c r="E1423" s="2" t="s">
        <v>169</v>
      </c>
    </row>
    <row r="1424" customFormat="false" ht="15" hidden="false" customHeight="false" outlineLevel="0" collapsed="false">
      <c r="A1424" s="2" t="s">
        <v>252</v>
      </c>
      <c r="B1424" s="2" t="s">
        <v>370</v>
      </c>
      <c r="C1424" s="2" t="s">
        <v>627</v>
      </c>
      <c r="D1424" s="2" t="s">
        <v>682</v>
      </c>
      <c r="E1424" s="2" t="s">
        <v>166</v>
      </c>
    </row>
    <row r="1425" customFormat="false" ht="15" hidden="false" customHeight="false" outlineLevel="0" collapsed="false">
      <c r="A1425" s="2" t="s">
        <v>252</v>
      </c>
      <c r="B1425" s="2" t="s">
        <v>683</v>
      </c>
      <c r="C1425" s="2" t="s">
        <v>627</v>
      </c>
      <c r="D1425" s="2" t="s">
        <v>402</v>
      </c>
      <c r="E1425" s="2" t="s">
        <v>168</v>
      </c>
    </row>
    <row r="1426" customFormat="false" ht="15" hidden="false" customHeight="false" outlineLevel="0" collapsed="false">
      <c r="A1426" s="2" t="s">
        <v>252</v>
      </c>
      <c r="B1426" s="2" t="s">
        <v>684</v>
      </c>
      <c r="C1426" s="2" t="s">
        <v>627</v>
      </c>
      <c r="D1426" s="2" t="s">
        <v>402</v>
      </c>
      <c r="E1426" s="2" t="s">
        <v>168</v>
      </c>
    </row>
    <row r="1427" customFormat="false" ht="15" hidden="false" customHeight="false" outlineLevel="0" collapsed="false">
      <c r="A1427" s="2" t="s">
        <v>252</v>
      </c>
      <c r="B1427" s="2" t="s">
        <v>410</v>
      </c>
      <c r="C1427" s="2" t="s">
        <v>627</v>
      </c>
      <c r="D1427" s="2" t="s">
        <v>402</v>
      </c>
      <c r="E1427" s="2" t="s">
        <v>168</v>
      </c>
    </row>
    <row r="1428" customFormat="false" ht="15" hidden="false" customHeight="false" outlineLevel="0" collapsed="false">
      <c r="A1428" s="2" t="s">
        <v>252</v>
      </c>
      <c r="B1428" s="2" t="s">
        <v>685</v>
      </c>
      <c r="C1428" s="2" t="s">
        <v>627</v>
      </c>
      <c r="D1428" s="2" t="s">
        <v>402</v>
      </c>
      <c r="E1428" s="2" t="s">
        <v>170</v>
      </c>
    </row>
    <row r="1429" customFormat="false" ht="15" hidden="false" customHeight="false" outlineLevel="0" collapsed="false">
      <c r="A1429" s="2" t="s">
        <v>252</v>
      </c>
      <c r="B1429" s="2" t="s">
        <v>686</v>
      </c>
      <c r="C1429" s="2" t="s">
        <v>628</v>
      </c>
      <c r="D1429" s="2" t="s">
        <v>687</v>
      </c>
      <c r="E1429" s="2" t="s">
        <v>166</v>
      </c>
    </row>
    <row r="1430" customFormat="false" ht="15" hidden="false" customHeight="false" outlineLevel="0" collapsed="false">
      <c r="A1430" s="2" t="s">
        <v>252</v>
      </c>
      <c r="B1430" s="2" t="s">
        <v>705</v>
      </c>
      <c r="C1430" s="2" t="s">
        <v>639</v>
      </c>
      <c r="D1430" s="2" t="s">
        <v>598</v>
      </c>
      <c r="E1430" s="2" t="s">
        <v>170</v>
      </c>
    </row>
    <row r="1431" customFormat="false" ht="15" hidden="false" customHeight="false" outlineLevel="0" collapsed="false">
      <c r="A1431" s="2" t="s">
        <v>252</v>
      </c>
      <c r="B1431" s="2" t="s">
        <v>705</v>
      </c>
      <c r="C1431" s="2" t="s">
        <v>639</v>
      </c>
      <c r="D1431" s="2" t="s">
        <v>598</v>
      </c>
      <c r="E1431" s="2" t="s">
        <v>170</v>
      </c>
    </row>
    <row r="1432" customFormat="false" ht="15" hidden="false" customHeight="false" outlineLevel="0" collapsed="false">
      <c r="A1432" s="2" t="s">
        <v>252</v>
      </c>
      <c r="B1432" s="2" t="s">
        <v>688</v>
      </c>
      <c r="C1432" s="2" t="s">
        <v>645</v>
      </c>
      <c r="D1432" s="2" t="s">
        <v>373</v>
      </c>
      <c r="E1432" s="2" t="s">
        <v>170</v>
      </c>
    </row>
    <row r="1433" customFormat="false" ht="15" hidden="false" customHeight="false" outlineLevel="0" collapsed="false">
      <c r="A1433" s="2" t="s">
        <v>253</v>
      </c>
      <c r="B1433" s="2" t="s">
        <v>649</v>
      </c>
      <c r="C1433" s="2" t="s">
        <v>635</v>
      </c>
      <c r="D1433" s="2" t="s">
        <v>487</v>
      </c>
      <c r="E1433" s="2" t="s">
        <v>166</v>
      </c>
    </row>
    <row r="1434" customFormat="false" ht="15" hidden="false" customHeight="false" outlineLevel="0" collapsed="false">
      <c r="A1434" s="2" t="s">
        <v>253</v>
      </c>
      <c r="B1434" s="2" t="s">
        <v>650</v>
      </c>
      <c r="C1434" s="2" t="s">
        <v>635</v>
      </c>
      <c r="D1434" s="2" t="s">
        <v>651</v>
      </c>
      <c r="E1434" s="2" t="s">
        <v>169</v>
      </c>
    </row>
    <row r="1435" customFormat="false" ht="15" hidden="false" customHeight="false" outlineLevel="0" collapsed="false">
      <c r="A1435" s="2" t="s">
        <v>253</v>
      </c>
      <c r="B1435" s="2" t="s">
        <v>652</v>
      </c>
      <c r="C1435" s="2" t="s">
        <v>635</v>
      </c>
      <c r="D1435" s="2" t="s">
        <v>653</v>
      </c>
      <c r="E1435" s="2" t="s">
        <v>169</v>
      </c>
    </row>
    <row r="1436" customFormat="false" ht="15" hidden="false" customHeight="false" outlineLevel="0" collapsed="false">
      <c r="A1436" s="2" t="s">
        <v>253</v>
      </c>
      <c r="B1436" s="2" t="s">
        <v>654</v>
      </c>
      <c r="C1436" s="2" t="s">
        <v>635</v>
      </c>
      <c r="D1436" s="2" t="s">
        <v>655</v>
      </c>
      <c r="E1436" s="2" t="s">
        <v>169</v>
      </c>
    </row>
    <row r="1437" customFormat="false" ht="15" hidden="false" customHeight="false" outlineLevel="0" collapsed="false">
      <c r="A1437" s="2" t="s">
        <v>253</v>
      </c>
      <c r="B1437" s="2" t="s">
        <v>656</v>
      </c>
      <c r="C1437" s="2" t="s">
        <v>642</v>
      </c>
      <c r="D1437" s="2" t="s">
        <v>487</v>
      </c>
      <c r="E1437" s="2" t="s">
        <v>166</v>
      </c>
    </row>
    <row r="1438" customFormat="false" ht="15" hidden="false" customHeight="false" outlineLevel="0" collapsed="false">
      <c r="A1438" s="2" t="s">
        <v>253</v>
      </c>
      <c r="B1438" s="2" t="s">
        <v>320</v>
      </c>
      <c r="C1438" s="2" t="s">
        <v>642</v>
      </c>
      <c r="D1438" s="2" t="s">
        <v>579</v>
      </c>
      <c r="E1438" s="2" t="s">
        <v>167</v>
      </c>
    </row>
    <row r="1439" customFormat="false" ht="15" hidden="false" customHeight="false" outlineLevel="0" collapsed="false">
      <c r="A1439" s="2" t="s">
        <v>253</v>
      </c>
      <c r="B1439" s="2" t="s">
        <v>658</v>
      </c>
      <c r="C1439" s="2" t="s">
        <v>642</v>
      </c>
      <c r="D1439" s="2" t="s">
        <v>487</v>
      </c>
      <c r="E1439" s="2" t="s">
        <v>166</v>
      </c>
    </row>
    <row r="1440" customFormat="false" ht="15" hidden="false" customHeight="false" outlineLevel="0" collapsed="false">
      <c r="A1440" s="2" t="s">
        <v>253</v>
      </c>
      <c r="B1440" s="2" t="s">
        <v>324</v>
      </c>
      <c r="C1440" s="2" t="s">
        <v>642</v>
      </c>
      <c r="D1440" s="2" t="s">
        <v>610</v>
      </c>
      <c r="E1440" s="2" t="s">
        <v>166</v>
      </c>
    </row>
    <row r="1441" customFormat="false" ht="15" hidden="false" customHeight="false" outlineLevel="0" collapsed="false">
      <c r="A1441" s="2" t="s">
        <v>253</v>
      </c>
      <c r="B1441" s="2" t="s">
        <v>704</v>
      </c>
      <c r="C1441" s="2" t="s">
        <v>643</v>
      </c>
      <c r="D1441" s="2" t="s">
        <v>494</v>
      </c>
      <c r="E1441" s="2" t="s">
        <v>167</v>
      </c>
    </row>
    <row r="1442" customFormat="false" ht="15" hidden="false" customHeight="false" outlineLevel="0" collapsed="false">
      <c r="A1442" s="2" t="s">
        <v>253</v>
      </c>
      <c r="B1442" s="2" t="s">
        <v>660</v>
      </c>
      <c r="C1442" s="2" t="s">
        <v>640</v>
      </c>
      <c r="D1442" s="2" t="s">
        <v>355</v>
      </c>
      <c r="E1442" s="2" t="s">
        <v>166</v>
      </c>
    </row>
    <row r="1443" customFormat="false" ht="15" hidden="false" customHeight="false" outlineLevel="0" collapsed="false">
      <c r="A1443" s="2" t="s">
        <v>253</v>
      </c>
      <c r="B1443" s="2" t="s">
        <v>661</v>
      </c>
      <c r="C1443" s="2" t="s">
        <v>641</v>
      </c>
      <c r="D1443" s="2" t="s">
        <v>355</v>
      </c>
      <c r="E1443" s="2" t="s">
        <v>166</v>
      </c>
    </row>
    <row r="1444" customFormat="false" ht="15" hidden="false" customHeight="false" outlineLevel="0" collapsed="false">
      <c r="A1444" s="2" t="s">
        <v>253</v>
      </c>
      <c r="B1444" s="2" t="s">
        <v>662</v>
      </c>
      <c r="C1444" s="2" t="s">
        <v>630</v>
      </c>
      <c r="D1444" s="2" t="s">
        <v>585</v>
      </c>
      <c r="E1444" s="2" t="s">
        <v>167</v>
      </c>
    </row>
    <row r="1445" customFormat="false" ht="15" hidden="false" customHeight="false" outlineLevel="0" collapsed="false">
      <c r="A1445" s="2" t="s">
        <v>253</v>
      </c>
      <c r="B1445" s="2" t="s">
        <v>667</v>
      </c>
      <c r="C1445" s="2" t="s">
        <v>638</v>
      </c>
      <c r="D1445" s="2" t="s">
        <v>668</v>
      </c>
      <c r="E1445" s="2" t="s">
        <v>166</v>
      </c>
    </row>
    <row r="1446" customFormat="false" ht="15" hidden="false" customHeight="false" outlineLevel="0" collapsed="false">
      <c r="A1446" s="2" t="s">
        <v>253</v>
      </c>
      <c r="B1446" s="2" t="s">
        <v>669</v>
      </c>
      <c r="C1446" s="2" t="s">
        <v>636</v>
      </c>
      <c r="D1446" s="2" t="s">
        <v>670</v>
      </c>
      <c r="E1446" s="2" t="s">
        <v>166</v>
      </c>
    </row>
    <row r="1447" customFormat="false" ht="15" hidden="false" customHeight="false" outlineLevel="0" collapsed="false">
      <c r="A1447" s="2" t="s">
        <v>253</v>
      </c>
      <c r="B1447" s="2" t="s">
        <v>671</v>
      </c>
      <c r="C1447" s="2" t="s">
        <v>632</v>
      </c>
      <c r="D1447" s="2" t="s">
        <v>672</v>
      </c>
      <c r="E1447" s="2" t="s">
        <v>166</v>
      </c>
    </row>
    <row r="1448" customFormat="false" ht="15" hidden="false" customHeight="false" outlineLevel="0" collapsed="false">
      <c r="A1448" s="2" t="s">
        <v>253</v>
      </c>
      <c r="B1448" s="2" t="s">
        <v>675</v>
      </c>
      <c r="C1448" s="2" t="s">
        <v>632</v>
      </c>
      <c r="D1448" s="2" t="s">
        <v>523</v>
      </c>
      <c r="E1448" s="2" t="s">
        <v>168</v>
      </c>
    </row>
    <row r="1449" customFormat="false" ht="15" hidden="false" customHeight="false" outlineLevel="0" collapsed="false">
      <c r="A1449" s="2" t="s">
        <v>253</v>
      </c>
      <c r="B1449" s="2" t="s">
        <v>412</v>
      </c>
      <c r="C1449" s="2" t="s">
        <v>632</v>
      </c>
      <c r="D1449" s="2" t="s">
        <v>523</v>
      </c>
      <c r="E1449" s="2" t="s">
        <v>168</v>
      </c>
    </row>
    <row r="1450" customFormat="false" ht="15" hidden="false" customHeight="false" outlineLevel="0" collapsed="false">
      <c r="A1450" s="2" t="s">
        <v>253</v>
      </c>
      <c r="B1450" s="2" t="s">
        <v>693</v>
      </c>
      <c r="C1450" s="2" t="s">
        <v>632</v>
      </c>
      <c r="D1450" s="2" t="s">
        <v>523</v>
      </c>
      <c r="E1450" s="2" t="s">
        <v>170</v>
      </c>
    </row>
    <row r="1451" customFormat="false" ht="15" hidden="false" customHeight="false" outlineLevel="0" collapsed="false">
      <c r="A1451" s="2" t="s">
        <v>253</v>
      </c>
      <c r="B1451" s="2" t="s">
        <v>694</v>
      </c>
      <c r="C1451" s="2" t="s">
        <v>633</v>
      </c>
      <c r="D1451" s="2" t="s">
        <v>677</v>
      </c>
      <c r="E1451" s="2" t="s">
        <v>166</v>
      </c>
    </row>
    <row r="1452" customFormat="false" ht="15" hidden="false" customHeight="false" outlineLevel="0" collapsed="false">
      <c r="A1452" s="2" t="s">
        <v>253</v>
      </c>
      <c r="B1452" s="2" t="s">
        <v>678</v>
      </c>
      <c r="C1452" s="2" t="s">
        <v>634</v>
      </c>
      <c r="D1452" s="2" t="s">
        <v>695</v>
      </c>
      <c r="E1452" s="2" t="s">
        <v>169</v>
      </c>
    </row>
    <row r="1453" customFormat="false" ht="15" hidden="false" customHeight="false" outlineLevel="0" collapsed="false">
      <c r="A1453" s="2" t="s">
        <v>253</v>
      </c>
      <c r="B1453" s="2" t="s">
        <v>680</v>
      </c>
      <c r="C1453" s="2" t="s">
        <v>629</v>
      </c>
      <c r="D1453" s="2" t="s">
        <v>703</v>
      </c>
      <c r="E1453" s="2" t="s">
        <v>166</v>
      </c>
    </row>
    <row r="1454" customFormat="false" ht="15" hidden="false" customHeight="false" outlineLevel="0" collapsed="false">
      <c r="A1454" s="2" t="s">
        <v>253</v>
      </c>
      <c r="B1454" s="2" t="s">
        <v>370</v>
      </c>
      <c r="C1454" s="2" t="s">
        <v>627</v>
      </c>
      <c r="D1454" s="2" t="s">
        <v>682</v>
      </c>
      <c r="E1454" s="2" t="s">
        <v>166</v>
      </c>
    </row>
    <row r="1455" customFormat="false" ht="15" hidden="false" customHeight="false" outlineLevel="0" collapsed="false">
      <c r="A1455" s="2" t="s">
        <v>253</v>
      </c>
      <c r="B1455" s="2" t="s">
        <v>696</v>
      </c>
      <c r="C1455" s="2" t="s">
        <v>627</v>
      </c>
      <c r="D1455" s="2" t="s">
        <v>402</v>
      </c>
      <c r="E1455" s="2" t="s">
        <v>168</v>
      </c>
    </row>
    <row r="1456" customFormat="false" ht="15" hidden="false" customHeight="false" outlineLevel="0" collapsed="false">
      <c r="A1456" s="2" t="s">
        <v>253</v>
      </c>
      <c r="B1456" s="2" t="s">
        <v>697</v>
      </c>
      <c r="C1456" s="2" t="s">
        <v>627</v>
      </c>
      <c r="D1456" s="2" t="s">
        <v>402</v>
      </c>
      <c r="E1456" s="2" t="s">
        <v>168</v>
      </c>
    </row>
    <row r="1457" customFormat="false" ht="15" hidden="false" customHeight="false" outlineLevel="0" collapsed="false">
      <c r="A1457" s="2" t="s">
        <v>253</v>
      </c>
      <c r="B1457" s="2" t="s">
        <v>683</v>
      </c>
      <c r="C1457" s="2" t="s">
        <v>627</v>
      </c>
      <c r="D1457" s="2" t="s">
        <v>402</v>
      </c>
      <c r="E1457" s="2" t="s">
        <v>168</v>
      </c>
    </row>
    <row r="1458" customFormat="false" ht="15" hidden="false" customHeight="false" outlineLevel="0" collapsed="false">
      <c r="A1458" s="2" t="s">
        <v>253</v>
      </c>
      <c r="B1458" s="2" t="s">
        <v>684</v>
      </c>
      <c r="C1458" s="2" t="s">
        <v>627</v>
      </c>
      <c r="D1458" s="2" t="s">
        <v>402</v>
      </c>
      <c r="E1458" s="2" t="s">
        <v>168</v>
      </c>
    </row>
    <row r="1459" customFormat="false" ht="15" hidden="false" customHeight="false" outlineLevel="0" collapsed="false">
      <c r="A1459" s="2" t="s">
        <v>253</v>
      </c>
      <c r="B1459" s="2" t="s">
        <v>715</v>
      </c>
      <c r="C1459" s="2" t="s">
        <v>627</v>
      </c>
      <c r="D1459" s="2" t="s">
        <v>402</v>
      </c>
      <c r="E1459" s="2" t="s">
        <v>168</v>
      </c>
    </row>
    <row r="1460" customFormat="false" ht="15" hidden="false" customHeight="false" outlineLevel="0" collapsed="false">
      <c r="A1460" s="2" t="s">
        <v>253</v>
      </c>
      <c r="B1460" s="2" t="s">
        <v>410</v>
      </c>
      <c r="C1460" s="2" t="s">
        <v>627</v>
      </c>
      <c r="D1460" s="2" t="s">
        <v>402</v>
      </c>
      <c r="E1460" s="2" t="s">
        <v>168</v>
      </c>
    </row>
    <row r="1461" customFormat="false" ht="15" hidden="false" customHeight="false" outlineLevel="0" collapsed="false">
      <c r="A1461" s="2" t="s">
        <v>253</v>
      </c>
      <c r="B1461" s="2" t="s">
        <v>708</v>
      </c>
      <c r="C1461" s="2" t="s">
        <v>628</v>
      </c>
      <c r="D1461" s="2" t="s">
        <v>687</v>
      </c>
      <c r="E1461" s="2" t="s">
        <v>166</v>
      </c>
    </row>
    <row r="1462" customFormat="false" ht="15" hidden="false" customHeight="false" outlineLevel="0" collapsed="false">
      <c r="A1462" s="2" t="s">
        <v>253</v>
      </c>
      <c r="B1462" s="2" t="s">
        <v>688</v>
      </c>
      <c r="C1462" s="2" t="s">
        <v>645</v>
      </c>
      <c r="D1462" s="2" t="s">
        <v>373</v>
      </c>
      <c r="E1462" s="2" t="s">
        <v>170</v>
      </c>
    </row>
    <row r="1463" customFormat="false" ht="15" hidden="false" customHeight="false" outlineLevel="0" collapsed="false">
      <c r="A1463" s="2" t="s">
        <v>254</v>
      </c>
      <c r="B1463" s="2" t="s">
        <v>649</v>
      </c>
      <c r="C1463" s="2" t="s">
        <v>635</v>
      </c>
      <c r="D1463" s="2" t="s">
        <v>487</v>
      </c>
      <c r="E1463" s="2" t="s">
        <v>166</v>
      </c>
    </row>
    <row r="1464" customFormat="false" ht="15" hidden="false" customHeight="false" outlineLevel="0" collapsed="false">
      <c r="A1464" s="2" t="s">
        <v>254</v>
      </c>
      <c r="B1464" s="2" t="s">
        <v>650</v>
      </c>
      <c r="C1464" s="2" t="s">
        <v>635</v>
      </c>
      <c r="D1464" s="2" t="s">
        <v>651</v>
      </c>
      <c r="E1464" s="2" t="s">
        <v>169</v>
      </c>
    </row>
    <row r="1465" customFormat="false" ht="15" hidden="false" customHeight="false" outlineLevel="0" collapsed="false">
      <c r="A1465" s="2" t="s">
        <v>254</v>
      </c>
      <c r="B1465" s="2" t="s">
        <v>652</v>
      </c>
      <c r="C1465" s="2" t="s">
        <v>635</v>
      </c>
      <c r="D1465" s="2" t="s">
        <v>653</v>
      </c>
      <c r="E1465" s="2" t="s">
        <v>169</v>
      </c>
    </row>
    <row r="1466" customFormat="false" ht="15" hidden="false" customHeight="false" outlineLevel="0" collapsed="false">
      <c r="A1466" s="2" t="s">
        <v>254</v>
      </c>
      <c r="B1466" s="2" t="s">
        <v>654</v>
      </c>
      <c r="C1466" s="2" t="s">
        <v>635</v>
      </c>
      <c r="D1466" s="2" t="s">
        <v>655</v>
      </c>
      <c r="E1466" s="2" t="s">
        <v>169</v>
      </c>
    </row>
    <row r="1467" customFormat="false" ht="15" hidden="false" customHeight="false" outlineLevel="0" collapsed="false">
      <c r="A1467" s="2" t="s">
        <v>254</v>
      </c>
      <c r="B1467" s="2" t="s">
        <v>656</v>
      </c>
      <c r="C1467" s="2" t="s">
        <v>642</v>
      </c>
      <c r="D1467" s="2" t="s">
        <v>487</v>
      </c>
      <c r="E1467" s="2" t="s">
        <v>166</v>
      </c>
    </row>
    <row r="1468" customFormat="false" ht="15" hidden="false" customHeight="false" outlineLevel="0" collapsed="false">
      <c r="A1468" s="2" t="s">
        <v>254</v>
      </c>
      <c r="B1468" s="2" t="s">
        <v>320</v>
      </c>
      <c r="C1468" s="2" t="s">
        <v>642</v>
      </c>
      <c r="D1468" s="2" t="s">
        <v>657</v>
      </c>
      <c r="E1468" s="2" t="s">
        <v>169</v>
      </c>
    </row>
    <row r="1469" customFormat="false" ht="15" hidden="false" customHeight="false" outlineLevel="0" collapsed="false">
      <c r="A1469" s="2" t="s">
        <v>254</v>
      </c>
      <c r="B1469" s="2" t="s">
        <v>658</v>
      </c>
      <c r="C1469" s="2" t="s">
        <v>642</v>
      </c>
      <c r="D1469" s="2" t="s">
        <v>487</v>
      </c>
      <c r="E1469" s="2" t="s">
        <v>166</v>
      </c>
    </row>
    <row r="1470" customFormat="false" ht="15" hidden="false" customHeight="false" outlineLevel="0" collapsed="false">
      <c r="A1470" s="2" t="s">
        <v>254</v>
      </c>
      <c r="B1470" s="2" t="s">
        <v>324</v>
      </c>
      <c r="C1470" s="2" t="s">
        <v>642</v>
      </c>
      <c r="D1470" s="2" t="s">
        <v>610</v>
      </c>
      <c r="E1470" s="2" t="s">
        <v>166</v>
      </c>
    </row>
    <row r="1471" customFormat="false" ht="15" hidden="false" customHeight="false" outlineLevel="0" collapsed="false">
      <c r="A1471" s="2" t="s">
        <v>254</v>
      </c>
      <c r="B1471" s="2" t="s">
        <v>704</v>
      </c>
      <c r="C1471" s="2" t="s">
        <v>643</v>
      </c>
      <c r="D1471" s="2" t="s">
        <v>494</v>
      </c>
      <c r="E1471" s="2" t="s">
        <v>167</v>
      </c>
    </row>
    <row r="1472" customFormat="false" ht="15" hidden="false" customHeight="false" outlineLevel="0" collapsed="false">
      <c r="A1472" s="2" t="s">
        <v>254</v>
      </c>
      <c r="B1472" s="2" t="s">
        <v>660</v>
      </c>
      <c r="C1472" s="2" t="s">
        <v>640</v>
      </c>
      <c r="D1472" s="2" t="s">
        <v>355</v>
      </c>
      <c r="E1472" s="2" t="s">
        <v>166</v>
      </c>
    </row>
    <row r="1473" customFormat="false" ht="15" hidden="false" customHeight="false" outlineLevel="0" collapsed="false">
      <c r="A1473" s="2" t="s">
        <v>254</v>
      </c>
      <c r="B1473" s="2" t="s">
        <v>661</v>
      </c>
      <c r="C1473" s="2" t="s">
        <v>641</v>
      </c>
      <c r="D1473" s="2" t="s">
        <v>355</v>
      </c>
      <c r="E1473" s="2" t="s">
        <v>166</v>
      </c>
    </row>
    <row r="1474" customFormat="false" ht="15" hidden="false" customHeight="false" outlineLevel="0" collapsed="false">
      <c r="A1474" s="2" t="s">
        <v>254</v>
      </c>
      <c r="B1474" s="2" t="s">
        <v>707</v>
      </c>
      <c r="C1474" s="2" t="s">
        <v>637</v>
      </c>
      <c r="D1474" s="2" t="s">
        <v>505</v>
      </c>
      <c r="E1474" s="2" t="s">
        <v>166</v>
      </c>
    </row>
    <row r="1475" customFormat="false" ht="15" hidden="false" customHeight="false" outlineLevel="0" collapsed="false">
      <c r="A1475" s="2" t="s">
        <v>254</v>
      </c>
      <c r="B1475" s="2" t="s">
        <v>716</v>
      </c>
      <c r="C1475" s="2" t="s">
        <v>512</v>
      </c>
      <c r="D1475" s="2" t="s">
        <v>510</v>
      </c>
      <c r="E1475" s="2" t="s">
        <v>166</v>
      </c>
    </row>
    <row r="1476" customFormat="false" ht="15" hidden="false" customHeight="false" outlineLevel="0" collapsed="false">
      <c r="A1476" s="2" t="s">
        <v>254</v>
      </c>
      <c r="B1476" s="2" t="s">
        <v>662</v>
      </c>
      <c r="C1476" s="2" t="s">
        <v>630</v>
      </c>
      <c r="D1476" s="2" t="s">
        <v>585</v>
      </c>
      <c r="E1476" s="2" t="s">
        <v>167</v>
      </c>
    </row>
    <row r="1477" customFormat="false" ht="15" hidden="false" customHeight="false" outlineLevel="0" collapsed="false">
      <c r="A1477" s="2" t="s">
        <v>254</v>
      </c>
      <c r="B1477" s="2" t="s">
        <v>663</v>
      </c>
      <c r="C1477" s="2" t="s">
        <v>631</v>
      </c>
      <c r="D1477" s="2" t="s">
        <v>664</v>
      </c>
      <c r="E1477" s="2" t="s">
        <v>166</v>
      </c>
    </row>
    <row r="1478" customFormat="false" ht="15" hidden="false" customHeight="false" outlineLevel="0" collapsed="false">
      <c r="A1478" s="2" t="s">
        <v>254</v>
      </c>
      <c r="B1478" s="2" t="s">
        <v>665</v>
      </c>
      <c r="C1478" s="2" t="s">
        <v>631</v>
      </c>
      <c r="D1478" s="2" t="s">
        <v>666</v>
      </c>
      <c r="E1478" s="2" t="s">
        <v>169</v>
      </c>
    </row>
    <row r="1479" customFormat="false" ht="15" hidden="false" customHeight="false" outlineLevel="0" collapsed="false">
      <c r="A1479" s="2" t="s">
        <v>254</v>
      </c>
      <c r="B1479" s="2" t="s">
        <v>667</v>
      </c>
      <c r="C1479" s="2" t="s">
        <v>638</v>
      </c>
      <c r="D1479" s="2" t="s">
        <v>668</v>
      </c>
      <c r="E1479" s="2" t="s">
        <v>166</v>
      </c>
    </row>
    <row r="1480" customFormat="false" ht="15" hidden="false" customHeight="false" outlineLevel="0" collapsed="false">
      <c r="A1480" s="2" t="s">
        <v>254</v>
      </c>
      <c r="B1480" s="2" t="s">
        <v>669</v>
      </c>
      <c r="C1480" s="2" t="s">
        <v>636</v>
      </c>
      <c r="D1480" s="2" t="s">
        <v>670</v>
      </c>
      <c r="E1480" s="2" t="s">
        <v>166</v>
      </c>
    </row>
    <row r="1481" customFormat="false" ht="15" hidden="false" customHeight="false" outlineLevel="0" collapsed="false">
      <c r="A1481" s="2" t="s">
        <v>254</v>
      </c>
      <c r="B1481" s="2" t="s">
        <v>671</v>
      </c>
      <c r="C1481" s="2" t="s">
        <v>632</v>
      </c>
      <c r="D1481" s="2" t="s">
        <v>672</v>
      </c>
      <c r="E1481" s="2" t="s">
        <v>166</v>
      </c>
    </row>
    <row r="1482" customFormat="false" ht="15" hidden="false" customHeight="false" outlineLevel="0" collapsed="false">
      <c r="A1482" s="2" t="s">
        <v>254</v>
      </c>
      <c r="B1482" s="2" t="s">
        <v>673</v>
      </c>
      <c r="C1482" s="2" t="s">
        <v>632</v>
      </c>
      <c r="D1482" s="2" t="s">
        <v>523</v>
      </c>
      <c r="E1482" s="2" t="s">
        <v>168</v>
      </c>
    </row>
    <row r="1483" customFormat="false" ht="15" hidden="false" customHeight="false" outlineLevel="0" collapsed="false">
      <c r="A1483" s="2" t="s">
        <v>254</v>
      </c>
      <c r="B1483" s="2" t="s">
        <v>674</v>
      </c>
      <c r="C1483" s="2" t="s">
        <v>632</v>
      </c>
      <c r="D1483" s="2" t="s">
        <v>523</v>
      </c>
      <c r="E1483" s="2" t="s">
        <v>168</v>
      </c>
    </row>
    <row r="1484" customFormat="false" ht="15" hidden="false" customHeight="false" outlineLevel="0" collapsed="false">
      <c r="A1484" s="2" t="s">
        <v>254</v>
      </c>
      <c r="B1484" s="2" t="s">
        <v>675</v>
      </c>
      <c r="C1484" s="2" t="s">
        <v>632</v>
      </c>
      <c r="D1484" s="2" t="s">
        <v>523</v>
      </c>
      <c r="E1484" s="2" t="s">
        <v>168</v>
      </c>
    </row>
    <row r="1485" customFormat="false" ht="15" hidden="false" customHeight="false" outlineLevel="0" collapsed="false">
      <c r="A1485" s="2" t="s">
        <v>254</v>
      </c>
      <c r="B1485" s="2" t="s">
        <v>412</v>
      </c>
      <c r="C1485" s="2" t="s">
        <v>632</v>
      </c>
      <c r="D1485" s="2" t="s">
        <v>523</v>
      </c>
      <c r="E1485" s="2" t="s">
        <v>168</v>
      </c>
    </row>
    <row r="1486" customFormat="false" ht="15" hidden="false" customHeight="false" outlineLevel="0" collapsed="false">
      <c r="A1486" s="2" t="s">
        <v>254</v>
      </c>
      <c r="B1486" s="2" t="s">
        <v>694</v>
      </c>
      <c r="C1486" s="2" t="s">
        <v>633</v>
      </c>
      <c r="D1486" s="2" t="s">
        <v>677</v>
      </c>
      <c r="E1486" s="2" t="s">
        <v>166</v>
      </c>
    </row>
    <row r="1487" customFormat="false" ht="15" hidden="false" customHeight="false" outlineLevel="0" collapsed="false">
      <c r="A1487" s="2" t="s">
        <v>254</v>
      </c>
      <c r="B1487" s="2" t="s">
        <v>678</v>
      </c>
      <c r="C1487" s="2" t="s">
        <v>634</v>
      </c>
      <c r="D1487" s="2" t="s">
        <v>679</v>
      </c>
      <c r="E1487" s="2" t="s">
        <v>166</v>
      </c>
    </row>
    <row r="1488" customFormat="false" ht="15" hidden="false" customHeight="false" outlineLevel="0" collapsed="false">
      <c r="A1488" s="2" t="s">
        <v>254</v>
      </c>
      <c r="B1488" s="2" t="s">
        <v>680</v>
      </c>
      <c r="C1488" s="2" t="s">
        <v>629</v>
      </c>
      <c r="D1488" s="2" t="s">
        <v>681</v>
      </c>
      <c r="E1488" s="2" t="s">
        <v>169</v>
      </c>
    </row>
    <row r="1489" customFormat="false" ht="15" hidden="false" customHeight="false" outlineLevel="0" collapsed="false">
      <c r="A1489" s="2" t="s">
        <v>254</v>
      </c>
      <c r="B1489" s="2" t="s">
        <v>370</v>
      </c>
      <c r="C1489" s="2" t="s">
        <v>627</v>
      </c>
      <c r="D1489" s="2" t="s">
        <v>682</v>
      </c>
      <c r="E1489" s="2" t="s">
        <v>166</v>
      </c>
    </row>
    <row r="1490" customFormat="false" ht="15" hidden="false" customHeight="false" outlineLevel="0" collapsed="false">
      <c r="A1490" s="2" t="s">
        <v>254</v>
      </c>
      <c r="B1490" s="2" t="s">
        <v>696</v>
      </c>
      <c r="C1490" s="2" t="s">
        <v>627</v>
      </c>
      <c r="D1490" s="2" t="s">
        <v>402</v>
      </c>
      <c r="E1490" s="2" t="s">
        <v>168</v>
      </c>
    </row>
    <row r="1491" customFormat="false" ht="15" hidden="false" customHeight="false" outlineLevel="0" collapsed="false">
      <c r="A1491" s="2" t="s">
        <v>254</v>
      </c>
      <c r="B1491" s="2" t="s">
        <v>697</v>
      </c>
      <c r="C1491" s="2" t="s">
        <v>627</v>
      </c>
      <c r="D1491" s="2" t="s">
        <v>402</v>
      </c>
      <c r="E1491" s="2" t="s">
        <v>168</v>
      </c>
    </row>
    <row r="1492" customFormat="false" ht="15" hidden="false" customHeight="false" outlineLevel="0" collapsed="false">
      <c r="A1492" s="2" t="s">
        <v>254</v>
      </c>
      <c r="B1492" s="2" t="s">
        <v>683</v>
      </c>
      <c r="C1492" s="2" t="s">
        <v>627</v>
      </c>
      <c r="D1492" s="2" t="s">
        <v>402</v>
      </c>
      <c r="E1492" s="2" t="s">
        <v>168</v>
      </c>
    </row>
    <row r="1493" customFormat="false" ht="15" hidden="false" customHeight="false" outlineLevel="0" collapsed="false">
      <c r="A1493" s="2" t="s">
        <v>254</v>
      </c>
      <c r="B1493" s="2" t="s">
        <v>684</v>
      </c>
      <c r="C1493" s="2" t="s">
        <v>627</v>
      </c>
      <c r="D1493" s="2" t="s">
        <v>402</v>
      </c>
      <c r="E1493" s="2" t="s">
        <v>168</v>
      </c>
    </row>
    <row r="1494" customFormat="false" ht="15" hidden="false" customHeight="false" outlineLevel="0" collapsed="false">
      <c r="A1494" s="2" t="s">
        <v>254</v>
      </c>
      <c r="B1494" s="2" t="s">
        <v>410</v>
      </c>
      <c r="C1494" s="2" t="s">
        <v>627</v>
      </c>
      <c r="D1494" s="2" t="s">
        <v>402</v>
      </c>
      <c r="E1494" s="2" t="s">
        <v>168</v>
      </c>
    </row>
    <row r="1495" customFormat="false" ht="15" hidden="false" customHeight="false" outlineLevel="0" collapsed="false">
      <c r="A1495" s="2" t="s">
        <v>254</v>
      </c>
      <c r="B1495" s="2" t="s">
        <v>708</v>
      </c>
      <c r="C1495" s="2" t="s">
        <v>628</v>
      </c>
      <c r="D1495" s="2" t="s">
        <v>687</v>
      </c>
      <c r="E1495" s="2" t="s">
        <v>166</v>
      </c>
    </row>
    <row r="1496" customFormat="false" ht="15" hidden="false" customHeight="false" outlineLevel="0" collapsed="false">
      <c r="A1496" s="2" t="s">
        <v>254</v>
      </c>
      <c r="B1496" s="2" t="s">
        <v>688</v>
      </c>
      <c r="C1496" s="2" t="s">
        <v>645</v>
      </c>
      <c r="D1496" s="2" t="s">
        <v>373</v>
      </c>
      <c r="E1496" s="2" t="s">
        <v>170</v>
      </c>
    </row>
    <row r="1497" customFormat="false" ht="15" hidden="false" customHeight="false" outlineLevel="0" collapsed="false">
      <c r="A1497" s="2" t="s">
        <v>255</v>
      </c>
      <c r="B1497" s="2" t="s">
        <v>649</v>
      </c>
      <c r="C1497" s="2" t="s">
        <v>635</v>
      </c>
      <c r="D1497" s="2" t="s">
        <v>487</v>
      </c>
      <c r="E1497" s="2" t="s">
        <v>166</v>
      </c>
    </row>
    <row r="1498" customFormat="false" ht="15" hidden="false" customHeight="false" outlineLevel="0" collapsed="false">
      <c r="A1498" s="2" t="s">
        <v>255</v>
      </c>
      <c r="B1498" s="2" t="s">
        <v>650</v>
      </c>
      <c r="C1498" s="2" t="s">
        <v>635</v>
      </c>
      <c r="D1498" s="2" t="s">
        <v>651</v>
      </c>
      <c r="E1498" s="2" t="s">
        <v>169</v>
      </c>
    </row>
    <row r="1499" customFormat="false" ht="15" hidden="false" customHeight="false" outlineLevel="0" collapsed="false">
      <c r="A1499" s="2" t="s">
        <v>255</v>
      </c>
      <c r="B1499" s="2" t="s">
        <v>652</v>
      </c>
      <c r="C1499" s="2" t="s">
        <v>635</v>
      </c>
      <c r="D1499" s="2" t="s">
        <v>653</v>
      </c>
      <c r="E1499" s="2" t="s">
        <v>169</v>
      </c>
    </row>
    <row r="1500" customFormat="false" ht="15" hidden="false" customHeight="false" outlineLevel="0" collapsed="false">
      <c r="A1500" s="2" t="s">
        <v>255</v>
      </c>
      <c r="B1500" s="2" t="s">
        <v>654</v>
      </c>
      <c r="C1500" s="2" t="s">
        <v>635</v>
      </c>
      <c r="D1500" s="2" t="s">
        <v>655</v>
      </c>
      <c r="E1500" s="2" t="s">
        <v>169</v>
      </c>
    </row>
    <row r="1501" customFormat="false" ht="15" hidden="false" customHeight="false" outlineLevel="0" collapsed="false">
      <c r="A1501" s="2" t="s">
        <v>255</v>
      </c>
      <c r="B1501" s="2" t="s">
        <v>656</v>
      </c>
      <c r="C1501" s="2" t="s">
        <v>642</v>
      </c>
      <c r="D1501" s="2" t="s">
        <v>487</v>
      </c>
      <c r="E1501" s="2" t="s">
        <v>166</v>
      </c>
    </row>
    <row r="1502" customFormat="false" ht="15" hidden="false" customHeight="false" outlineLevel="0" collapsed="false">
      <c r="A1502" s="2" t="s">
        <v>255</v>
      </c>
      <c r="B1502" s="2" t="s">
        <v>320</v>
      </c>
      <c r="C1502" s="2" t="s">
        <v>642</v>
      </c>
      <c r="D1502" s="2" t="s">
        <v>657</v>
      </c>
      <c r="E1502" s="2" t="s">
        <v>169</v>
      </c>
    </row>
    <row r="1503" customFormat="false" ht="15" hidden="false" customHeight="false" outlineLevel="0" collapsed="false">
      <c r="A1503" s="2" t="s">
        <v>255</v>
      </c>
      <c r="B1503" s="2" t="s">
        <v>658</v>
      </c>
      <c r="C1503" s="2" t="s">
        <v>642</v>
      </c>
      <c r="D1503" s="2" t="s">
        <v>487</v>
      </c>
      <c r="E1503" s="2" t="s">
        <v>166</v>
      </c>
    </row>
    <row r="1504" customFormat="false" ht="15" hidden="false" customHeight="false" outlineLevel="0" collapsed="false">
      <c r="A1504" s="2" t="s">
        <v>255</v>
      </c>
      <c r="B1504" s="2" t="s">
        <v>324</v>
      </c>
      <c r="C1504" s="2" t="s">
        <v>642</v>
      </c>
      <c r="D1504" s="2" t="s">
        <v>610</v>
      </c>
      <c r="E1504" s="2" t="s">
        <v>166</v>
      </c>
    </row>
    <row r="1505" customFormat="false" ht="15" hidden="false" customHeight="false" outlineLevel="0" collapsed="false">
      <c r="A1505" s="2" t="s">
        <v>255</v>
      </c>
      <c r="B1505" s="2" t="s">
        <v>660</v>
      </c>
      <c r="C1505" s="2" t="s">
        <v>640</v>
      </c>
      <c r="D1505" s="2" t="s">
        <v>355</v>
      </c>
      <c r="E1505" s="2" t="s">
        <v>166</v>
      </c>
    </row>
    <row r="1506" customFormat="false" ht="15" hidden="false" customHeight="false" outlineLevel="0" collapsed="false">
      <c r="A1506" s="2" t="s">
        <v>255</v>
      </c>
      <c r="B1506" s="2" t="s">
        <v>661</v>
      </c>
      <c r="C1506" s="2" t="s">
        <v>641</v>
      </c>
      <c r="D1506" s="2" t="s">
        <v>355</v>
      </c>
      <c r="E1506" s="2" t="s">
        <v>166</v>
      </c>
    </row>
    <row r="1507" customFormat="false" ht="15" hidden="false" customHeight="false" outlineLevel="0" collapsed="false">
      <c r="A1507" s="2" t="s">
        <v>255</v>
      </c>
      <c r="B1507" s="2" t="s">
        <v>662</v>
      </c>
      <c r="C1507" s="2" t="s">
        <v>630</v>
      </c>
      <c r="D1507" s="2" t="s">
        <v>585</v>
      </c>
      <c r="E1507" s="2" t="s">
        <v>167</v>
      </c>
    </row>
    <row r="1508" customFormat="false" ht="15" hidden="false" customHeight="false" outlineLevel="0" collapsed="false">
      <c r="A1508" s="2" t="s">
        <v>255</v>
      </c>
      <c r="B1508" s="2" t="s">
        <v>663</v>
      </c>
      <c r="C1508" s="2" t="s">
        <v>631</v>
      </c>
      <c r="D1508" s="2" t="s">
        <v>664</v>
      </c>
      <c r="E1508" s="2" t="s">
        <v>166</v>
      </c>
    </row>
    <row r="1509" customFormat="false" ht="15" hidden="false" customHeight="false" outlineLevel="0" collapsed="false">
      <c r="A1509" s="2" t="s">
        <v>255</v>
      </c>
      <c r="B1509" s="2" t="s">
        <v>665</v>
      </c>
      <c r="C1509" s="2" t="s">
        <v>631</v>
      </c>
      <c r="D1509" s="2" t="s">
        <v>666</v>
      </c>
      <c r="E1509" s="2" t="s">
        <v>169</v>
      </c>
    </row>
    <row r="1510" customFormat="false" ht="15" hidden="false" customHeight="false" outlineLevel="0" collapsed="false">
      <c r="A1510" s="2" t="s">
        <v>255</v>
      </c>
      <c r="B1510" s="2" t="s">
        <v>667</v>
      </c>
      <c r="C1510" s="2" t="s">
        <v>638</v>
      </c>
      <c r="D1510" s="2" t="s">
        <v>668</v>
      </c>
      <c r="E1510" s="2" t="s">
        <v>166</v>
      </c>
    </row>
    <row r="1511" customFormat="false" ht="15" hidden="false" customHeight="false" outlineLevel="0" collapsed="false">
      <c r="A1511" s="2" t="s">
        <v>255</v>
      </c>
      <c r="B1511" s="2" t="s">
        <v>669</v>
      </c>
      <c r="C1511" s="2" t="s">
        <v>636</v>
      </c>
      <c r="D1511" s="2" t="s">
        <v>670</v>
      </c>
      <c r="E1511" s="2" t="s">
        <v>166</v>
      </c>
    </row>
    <row r="1512" customFormat="false" ht="15" hidden="false" customHeight="false" outlineLevel="0" collapsed="false">
      <c r="A1512" s="2" t="s">
        <v>255</v>
      </c>
      <c r="B1512" s="2" t="s">
        <v>671</v>
      </c>
      <c r="C1512" s="2" t="s">
        <v>632</v>
      </c>
      <c r="D1512" s="2" t="s">
        <v>672</v>
      </c>
      <c r="E1512" s="2" t="s">
        <v>166</v>
      </c>
    </row>
    <row r="1513" customFormat="false" ht="15" hidden="false" customHeight="false" outlineLevel="0" collapsed="false">
      <c r="A1513" s="2" t="s">
        <v>255</v>
      </c>
      <c r="B1513" s="2" t="s">
        <v>673</v>
      </c>
      <c r="C1513" s="2" t="s">
        <v>632</v>
      </c>
      <c r="D1513" s="2" t="s">
        <v>523</v>
      </c>
      <c r="E1513" s="2" t="s">
        <v>168</v>
      </c>
    </row>
    <row r="1514" customFormat="false" ht="15" hidden="false" customHeight="false" outlineLevel="0" collapsed="false">
      <c r="A1514" s="2" t="s">
        <v>255</v>
      </c>
      <c r="B1514" s="2" t="s">
        <v>674</v>
      </c>
      <c r="C1514" s="2" t="s">
        <v>632</v>
      </c>
      <c r="D1514" s="2" t="s">
        <v>523</v>
      </c>
      <c r="E1514" s="2" t="s">
        <v>168</v>
      </c>
    </row>
    <row r="1515" customFormat="false" ht="15" hidden="false" customHeight="false" outlineLevel="0" collapsed="false">
      <c r="A1515" s="2" t="s">
        <v>255</v>
      </c>
      <c r="B1515" s="2" t="s">
        <v>675</v>
      </c>
      <c r="C1515" s="2" t="s">
        <v>632</v>
      </c>
      <c r="D1515" s="2" t="s">
        <v>523</v>
      </c>
      <c r="E1515" s="2" t="s">
        <v>168</v>
      </c>
    </row>
    <row r="1516" customFormat="false" ht="15" hidden="false" customHeight="false" outlineLevel="0" collapsed="false">
      <c r="A1516" s="2" t="s">
        <v>255</v>
      </c>
      <c r="B1516" s="2" t="s">
        <v>412</v>
      </c>
      <c r="C1516" s="2" t="s">
        <v>632</v>
      </c>
      <c r="D1516" s="2" t="s">
        <v>523</v>
      </c>
      <c r="E1516" s="2" t="s">
        <v>168</v>
      </c>
    </row>
    <row r="1517" customFormat="false" ht="15" hidden="false" customHeight="false" outlineLevel="0" collapsed="false">
      <c r="A1517" s="2" t="s">
        <v>255</v>
      </c>
      <c r="B1517" s="2" t="s">
        <v>694</v>
      </c>
      <c r="C1517" s="2" t="s">
        <v>633</v>
      </c>
      <c r="D1517" s="2" t="s">
        <v>677</v>
      </c>
      <c r="E1517" s="2" t="s">
        <v>166</v>
      </c>
    </row>
    <row r="1518" customFormat="false" ht="15" hidden="false" customHeight="false" outlineLevel="0" collapsed="false">
      <c r="A1518" s="2" t="s">
        <v>255</v>
      </c>
      <c r="B1518" s="2" t="s">
        <v>678</v>
      </c>
      <c r="C1518" s="2" t="s">
        <v>634</v>
      </c>
      <c r="D1518" s="2" t="s">
        <v>679</v>
      </c>
      <c r="E1518" s="2" t="s">
        <v>166</v>
      </c>
    </row>
    <row r="1519" customFormat="false" ht="15" hidden="false" customHeight="false" outlineLevel="0" collapsed="false">
      <c r="A1519" s="2" t="s">
        <v>255</v>
      </c>
      <c r="B1519" s="2" t="s">
        <v>680</v>
      </c>
      <c r="C1519" s="2" t="s">
        <v>629</v>
      </c>
      <c r="D1519" s="2" t="s">
        <v>703</v>
      </c>
      <c r="E1519" s="2" t="s">
        <v>166</v>
      </c>
    </row>
    <row r="1520" customFormat="false" ht="15" hidden="false" customHeight="false" outlineLevel="0" collapsed="false">
      <c r="A1520" s="2" t="s">
        <v>255</v>
      </c>
      <c r="B1520" s="2" t="s">
        <v>370</v>
      </c>
      <c r="C1520" s="2" t="s">
        <v>627</v>
      </c>
      <c r="D1520" s="2" t="s">
        <v>682</v>
      </c>
      <c r="E1520" s="2" t="s">
        <v>166</v>
      </c>
    </row>
    <row r="1521" customFormat="false" ht="15" hidden="false" customHeight="false" outlineLevel="0" collapsed="false">
      <c r="A1521" s="2" t="s">
        <v>255</v>
      </c>
      <c r="B1521" s="2" t="s">
        <v>684</v>
      </c>
      <c r="C1521" s="2" t="s">
        <v>627</v>
      </c>
      <c r="D1521" s="2" t="s">
        <v>402</v>
      </c>
      <c r="E1521" s="2" t="s">
        <v>168</v>
      </c>
    </row>
    <row r="1522" customFormat="false" ht="15" hidden="false" customHeight="false" outlineLevel="0" collapsed="false">
      <c r="A1522" s="2" t="s">
        <v>255</v>
      </c>
      <c r="B1522" s="2" t="s">
        <v>410</v>
      </c>
      <c r="C1522" s="2" t="s">
        <v>627</v>
      </c>
      <c r="D1522" s="2" t="s">
        <v>402</v>
      </c>
      <c r="E1522" s="2" t="s">
        <v>168</v>
      </c>
    </row>
    <row r="1523" customFormat="false" ht="15" hidden="false" customHeight="false" outlineLevel="0" collapsed="false">
      <c r="A1523" s="2" t="s">
        <v>255</v>
      </c>
      <c r="B1523" s="2" t="s">
        <v>685</v>
      </c>
      <c r="C1523" s="2" t="s">
        <v>627</v>
      </c>
      <c r="D1523" s="2" t="s">
        <v>402</v>
      </c>
      <c r="E1523" s="2" t="s">
        <v>170</v>
      </c>
    </row>
    <row r="1524" customFormat="false" ht="15" hidden="false" customHeight="false" outlineLevel="0" collapsed="false">
      <c r="A1524" s="2" t="s">
        <v>255</v>
      </c>
      <c r="B1524" s="2" t="s">
        <v>686</v>
      </c>
      <c r="C1524" s="2" t="s">
        <v>628</v>
      </c>
      <c r="D1524" s="2" t="s">
        <v>687</v>
      </c>
      <c r="E1524" s="2" t="s">
        <v>166</v>
      </c>
    </row>
    <row r="1525" customFormat="false" ht="15" hidden="false" customHeight="false" outlineLevel="0" collapsed="false">
      <c r="A1525" s="2" t="s">
        <v>255</v>
      </c>
      <c r="B1525" s="2" t="s">
        <v>711</v>
      </c>
      <c r="C1525" s="2" t="s">
        <v>644</v>
      </c>
      <c r="D1525" s="2" t="s">
        <v>604</v>
      </c>
      <c r="E1525" s="2" t="s">
        <v>170</v>
      </c>
    </row>
    <row r="1526" customFormat="false" ht="15" hidden="false" customHeight="false" outlineLevel="0" collapsed="false">
      <c r="A1526" s="2" t="s">
        <v>255</v>
      </c>
      <c r="B1526" s="2" t="s">
        <v>688</v>
      </c>
      <c r="C1526" s="2" t="s">
        <v>645</v>
      </c>
      <c r="D1526" s="2" t="s">
        <v>373</v>
      </c>
      <c r="E1526" s="2" t="s">
        <v>170</v>
      </c>
    </row>
    <row r="1527" customFormat="false" ht="15" hidden="false" customHeight="false" outlineLevel="0" collapsed="false">
      <c r="A1527" s="2" t="s">
        <v>256</v>
      </c>
      <c r="B1527" s="2" t="s">
        <v>649</v>
      </c>
      <c r="C1527" s="2" t="s">
        <v>635</v>
      </c>
      <c r="D1527" s="2" t="s">
        <v>487</v>
      </c>
      <c r="E1527" s="2" t="s">
        <v>166</v>
      </c>
    </row>
    <row r="1528" customFormat="false" ht="15" hidden="false" customHeight="false" outlineLevel="0" collapsed="false">
      <c r="A1528" s="2" t="s">
        <v>256</v>
      </c>
      <c r="B1528" s="2" t="s">
        <v>650</v>
      </c>
      <c r="C1528" s="2" t="s">
        <v>635</v>
      </c>
      <c r="D1528" s="2" t="s">
        <v>651</v>
      </c>
      <c r="E1528" s="2" t="s">
        <v>169</v>
      </c>
    </row>
    <row r="1529" customFormat="false" ht="15" hidden="false" customHeight="false" outlineLevel="0" collapsed="false">
      <c r="A1529" s="2" t="s">
        <v>256</v>
      </c>
      <c r="B1529" s="2" t="s">
        <v>652</v>
      </c>
      <c r="C1529" s="2" t="s">
        <v>635</v>
      </c>
      <c r="D1529" s="2" t="s">
        <v>653</v>
      </c>
      <c r="E1529" s="2" t="s">
        <v>169</v>
      </c>
    </row>
    <row r="1530" customFormat="false" ht="15" hidden="false" customHeight="false" outlineLevel="0" collapsed="false">
      <c r="A1530" s="2" t="s">
        <v>256</v>
      </c>
      <c r="B1530" s="2" t="s">
        <v>654</v>
      </c>
      <c r="C1530" s="2" t="s">
        <v>635</v>
      </c>
      <c r="D1530" s="2" t="s">
        <v>655</v>
      </c>
      <c r="E1530" s="2" t="s">
        <v>169</v>
      </c>
    </row>
    <row r="1531" customFormat="false" ht="15" hidden="false" customHeight="false" outlineLevel="0" collapsed="false">
      <c r="A1531" s="2" t="s">
        <v>256</v>
      </c>
      <c r="B1531" s="2" t="s">
        <v>656</v>
      </c>
      <c r="C1531" s="2" t="s">
        <v>642</v>
      </c>
      <c r="D1531" s="2" t="s">
        <v>487</v>
      </c>
      <c r="E1531" s="2" t="s">
        <v>166</v>
      </c>
    </row>
    <row r="1532" customFormat="false" ht="15" hidden="false" customHeight="false" outlineLevel="0" collapsed="false">
      <c r="A1532" s="2" t="s">
        <v>256</v>
      </c>
      <c r="B1532" s="2" t="s">
        <v>320</v>
      </c>
      <c r="C1532" s="2" t="s">
        <v>642</v>
      </c>
      <c r="D1532" s="2" t="s">
        <v>657</v>
      </c>
      <c r="E1532" s="2" t="s">
        <v>169</v>
      </c>
    </row>
    <row r="1533" customFormat="false" ht="15" hidden="false" customHeight="false" outlineLevel="0" collapsed="false">
      <c r="A1533" s="2" t="s">
        <v>256</v>
      </c>
      <c r="B1533" s="2" t="s">
        <v>658</v>
      </c>
      <c r="C1533" s="2" t="s">
        <v>642</v>
      </c>
      <c r="D1533" s="2" t="s">
        <v>487</v>
      </c>
      <c r="E1533" s="2" t="s">
        <v>166</v>
      </c>
    </row>
    <row r="1534" customFormat="false" ht="15" hidden="false" customHeight="false" outlineLevel="0" collapsed="false">
      <c r="A1534" s="2" t="s">
        <v>256</v>
      </c>
      <c r="B1534" s="2" t="s">
        <v>324</v>
      </c>
      <c r="C1534" s="2" t="s">
        <v>642</v>
      </c>
      <c r="D1534" s="2" t="s">
        <v>610</v>
      </c>
      <c r="E1534" s="2" t="s">
        <v>166</v>
      </c>
    </row>
    <row r="1535" customFormat="false" ht="15" hidden="false" customHeight="false" outlineLevel="0" collapsed="false">
      <c r="A1535" s="2" t="s">
        <v>256</v>
      </c>
      <c r="B1535" s="2" t="s">
        <v>660</v>
      </c>
      <c r="C1535" s="2" t="s">
        <v>640</v>
      </c>
      <c r="D1535" s="2" t="s">
        <v>355</v>
      </c>
      <c r="E1535" s="2" t="s">
        <v>166</v>
      </c>
    </row>
    <row r="1536" customFormat="false" ht="15" hidden="false" customHeight="false" outlineLevel="0" collapsed="false">
      <c r="A1536" s="2" t="s">
        <v>256</v>
      </c>
      <c r="B1536" s="2" t="s">
        <v>661</v>
      </c>
      <c r="C1536" s="2" t="s">
        <v>641</v>
      </c>
      <c r="D1536" s="2" t="s">
        <v>355</v>
      </c>
      <c r="E1536" s="2" t="s">
        <v>166</v>
      </c>
    </row>
    <row r="1537" customFormat="false" ht="15" hidden="false" customHeight="false" outlineLevel="0" collapsed="false">
      <c r="A1537" s="2" t="s">
        <v>256</v>
      </c>
      <c r="B1537" s="2" t="s">
        <v>662</v>
      </c>
      <c r="C1537" s="2" t="s">
        <v>630</v>
      </c>
      <c r="D1537" s="2" t="s">
        <v>585</v>
      </c>
      <c r="E1537" s="2" t="s">
        <v>167</v>
      </c>
    </row>
    <row r="1538" customFormat="false" ht="15" hidden="false" customHeight="false" outlineLevel="0" collapsed="false">
      <c r="A1538" s="2" t="s">
        <v>256</v>
      </c>
      <c r="B1538" s="2" t="s">
        <v>667</v>
      </c>
      <c r="C1538" s="2" t="s">
        <v>638</v>
      </c>
      <c r="D1538" s="2" t="s">
        <v>668</v>
      </c>
      <c r="E1538" s="2" t="s">
        <v>166</v>
      </c>
    </row>
    <row r="1539" customFormat="false" ht="15" hidden="false" customHeight="false" outlineLevel="0" collapsed="false">
      <c r="A1539" s="2" t="s">
        <v>256</v>
      </c>
      <c r="B1539" s="2" t="s">
        <v>669</v>
      </c>
      <c r="C1539" s="2" t="s">
        <v>636</v>
      </c>
      <c r="D1539" s="2" t="s">
        <v>670</v>
      </c>
      <c r="E1539" s="2" t="s">
        <v>166</v>
      </c>
    </row>
    <row r="1540" customFormat="false" ht="15" hidden="false" customHeight="false" outlineLevel="0" collapsed="false">
      <c r="A1540" s="2" t="s">
        <v>256</v>
      </c>
      <c r="B1540" s="2" t="s">
        <v>671</v>
      </c>
      <c r="C1540" s="2" t="s">
        <v>632</v>
      </c>
      <c r="D1540" s="2" t="s">
        <v>672</v>
      </c>
      <c r="E1540" s="2" t="s">
        <v>166</v>
      </c>
    </row>
    <row r="1541" customFormat="false" ht="15" hidden="false" customHeight="false" outlineLevel="0" collapsed="false">
      <c r="A1541" s="2" t="s">
        <v>256</v>
      </c>
      <c r="B1541" s="2" t="s">
        <v>673</v>
      </c>
      <c r="C1541" s="2" t="s">
        <v>632</v>
      </c>
      <c r="D1541" s="2" t="s">
        <v>523</v>
      </c>
      <c r="E1541" s="2" t="s">
        <v>168</v>
      </c>
    </row>
    <row r="1542" customFormat="false" ht="15" hidden="false" customHeight="false" outlineLevel="0" collapsed="false">
      <c r="A1542" s="2" t="s">
        <v>256</v>
      </c>
      <c r="B1542" s="2" t="s">
        <v>674</v>
      </c>
      <c r="C1542" s="2" t="s">
        <v>632</v>
      </c>
      <c r="D1542" s="2" t="s">
        <v>523</v>
      </c>
      <c r="E1542" s="2" t="s">
        <v>168</v>
      </c>
    </row>
    <row r="1543" customFormat="false" ht="15" hidden="false" customHeight="false" outlineLevel="0" collapsed="false">
      <c r="A1543" s="2" t="s">
        <v>256</v>
      </c>
      <c r="B1543" s="2" t="s">
        <v>675</v>
      </c>
      <c r="C1543" s="2" t="s">
        <v>632</v>
      </c>
      <c r="D1543" s="2" t="s">
        <v>523</v>
      </c>
      <c r="E1543" s="2" t="s">
        <v>168</v>
      </c>
    </row>
    <row r="1544" customFormat="false" ht="15" hidden="false" customHeight="false" outlineLevel="0" collapsed="false">
      <c r="A1544" s="2" t="s">
        <v>256</v>
      </c>
      <c r="B1544" s="2" t="s">
        <v>412</v>
      </c>
      <c r="C1544" s="2" t="s">
        <v>632</v>
      </c>
      <c r="D1544" s="2" t="s">
        <v>523</v>
      </c>
      <c r="E1544" s="2" t="s">
        <v>168</v>
      </c>
    </row>
    <row r="1545" customFormat="false" ht="15" hidden="false" customHeight="false" outlineLevel="0" collapsed="false">
      <c r="A1545" s="2" t="s">
        <v>256</v>
      </c>
      <c r="B1545" s="2" t="s">
        <v>694</v>
      </c>
      <c r="C1545" s="2" t="s">
        <v>633</v>
      </c>
      <c r="D1545" s="2" t="s">
        <v>677</v>
      </c>
      <c r="E1545" s="2" t="s">
        <v>166</v>
      </c>
    </row>
    <row r="1546" customFormat="false" ht="15" hidden="false" customHeight="false" outlineLevel="0" collapsed="false">
      <c r="A1546" s="2" t="s">
        <v>256</v>
      </c>
      <c r="B1546" s="2" t="s">
        <v>678</v>
      </c>
      <c r="C1546" s="2" t="s">
        <v>634</v>
      </c>
      <c r="D1546" s="2" t="s">
        <v>695</v>
      </c>
      <c r="E1546" s="2" t="s">
        <v>169</v>
      </c>
    </row>
    <row r="1547" customFormat="false" ht="15" hidden="false" customHeight="false" outlineLevel="0" collapsed="false">
      <c r="A1547" s="2" t="s">
        <v>256</v>
      </c>
      <c r="B1547" s="2" t="s">
        <v>680</v>
      </c>
      <c r="C1547" s="2" t="s">
        <v>629</v>
      </c>
      <c r="D1547" s="2" t="s">
        <v>703</v>
      </c>
      <c r="E1547" s="2" t="s">
        <v>166</v>
      </c>
    </row>
    <row r="1548" customFormat="false" ht="15" hidden="false" customHeight="false" outlineLevel="0" collapsed="false">
      <c r="A1548" s="2" t="s">
        <v>256</v>
      </c>
      <c r="B1548" s="2" t="s">
        <v>370</v>
      </c>
      <c r="C1548" s="2" t="s">
        <v>627</v>
      </c>
      <c r="D1548" s="2" t="s">
        <v>682</v>
      </c>
      <c r="E1548" s="2" t="s">
        <v>166</v>
      </c>
    </row>
    <row r="1549" customFormat="false" ht="15" hidden="false" customHeight="false" outlineLevel="0" collapsed="false">
      <c r="A1549" s="2" t="s">
        <v>256</v>
      </c>
      <c r="B1549" s="2" t="s">
        <v>696</v>
      </c>
      <c r="C1549" s="2" t="s">
        <v>627</v>
      </c>
      <c r="D1549" s="2" t="s">
        <v>402</v>
      </c>
      <c r="E1549" s="2" t="s">
        <v>168</v>
      </c>
    </row>
    <row r="1550" customFormat="false" ht="15" hidden="false" customHeight="false" outlineLevel="0" collapsed="false">
      <c r="A1550" s="2" t="s">
        <v>256</v>
      </c>
      <c r="B1550" s="2" t="s">
        <v>697</v>
      </c>
      <c r="C1550" s="2" t="s">
        <v>627</v>
      </c>
      <c r="D1550" s="2" t="s">
        <v>402</v>
      </c>
      <c r="E1550" s="2" t="s">
        <v>168</v>
      </c>
    </row>
    <row r="1551" customFormat="false" ht="15" hidden="false" customHeight="false" outlineLevel="0" collapsed="false">
      <c r="A1551" s="2" t="s">
        <v>256</v>
      </c>
      <c r="B1551" s="2" t="s">
        <v>683</v>
      </c>
      <c r="C1551" s="2" t="s">
        <v>627</v>
      </c>
      <c r="D1551" s="2" t="s">
        <v>402</v>
      </c>
      <c r="E1551" s="2" t="s">
        <v>168</v>
      </c>
    </row>
    <row r="1552" customFormat="false" ht="15" hidden="false" customHeight="false" outlineLevel="0" collapsed="false">
      <c r="A1552" s="2" t="s">
        <v>256</v>
      </c>
      <c r="B1552" s="2" t="s">
        <v>684</v>
      </c>
      <c r="C1552" s="2" t="s">
        <v>627</v>
      </c>
      <c r="D1552" s="2" t="s">
        <v>402</v>
      </c>
      <c r="E1552" s="2" t="s">
        <v>168</v>
      </c>
    </row>
    <row r="1553" customFormat="false" ht="15" hidden="false" customHeight="false" outlineLevel="0" collapsed="false">
      <c r="A1553" s="2" t="s">
        <v>256</v>
      </c>
      <c r="B1553" s="2" t="s">
        <v>410</v>
      </c>
      <c r="C1553" s="2" t="s">
        <v>627</v>
      </c>
      <c r="D1553" s="2" t="s">
        <v>402</v>
      </c>
      <c r="E1553" s="2" t="s">
        <v>168</v>
      </c>
    </row>
    <row r="1554" customFormat="false" ht="15" hidden="false" customHeight="false" outlineLevel="0" collapsed="false">
      <c r="A1554" s="2" t="s">
        <v>256</v>
      </c>
      <c r="B1554" s="2" t="s">
        <v>708</v>
      </c>
      <c r="C1554" s="2" t="s">
        <v>628</v>
      </c>
      <c r="D1554" s="2" t="s">
        <v>687</v>
      </c>
      <c r="E1554" s="2" t="s">
        <v>166</v>
      </c>
    </row>
    <row r="1555" customFormat="false" ht="15" hidden="false" customHeight="false" outlineLevel="0" collapsed="false">
      <c r="A1555" s="2" t="s">
        <v>256</v>
      </c>
      <c r="B1555" s="2" t="s">
        <v>711</v>
      </c>
      <c r="C1555" s="2" t="s">
        <v>644</v>
      </c>
      <c r="D1555" s="2" t="s">
        <v>604</v>
      </c>
      <c r="E1555" s="2" t="s">
        <v>170</v>
      </c>
    </row>
    <row r="1556" customFormat="false" ht="15" hidden="false" customHeight="false" outlineLevel="0" collapsed="false">
      <c r="A1556" s="2" t="s">
        <v>256</v>
      </c>
      <c r="B1556" s="2" t="s">
        <v>688</v>
      </c>
      <c r="C1556" s="2" t="s">
        <v>645</v>
      </c>
      <c r="D1556" s="2" t="s">
        <v>373</v>
      </c>
      <c r="E1556" s="2" t="s">
        <v>170</v>
      </c>
    </row>
    <row r="1557" customFormat="false" ht="15" hidden="false" customHeight="false" outlineLevel="0" collapsed="false">
      <c r="A1557" s="2" t="s">
        <v>257</v>
      </c>
      <c r="B1557" s="2" t="s">
        <v>649</v>
      </c>
      <c r="C1557" s="2" t="s">
        <v>635</v>
      </c>
      <c r="D1557" s="2" t="s">
        <v>487</v>
      </c>
      <c r="E1557" s="2" t="s">
        <v>166</v>
      </c>
    </row>
    <row r="1558" customFormat="false" ht="15" hidden="false" customHeight="false" outlineLevel="0" collapsed="false">
      <c r="A1558" s="2" t="s">
        <v>257</v>
      </c>
      <c r="B1558" s="2" t="s">
        <v>650</v>
      </c>
      <c r="C1558" s="2" t="s">
        <v>635</v>
      </c>
      <c r="D1558" s="2" t="s">
        <v>651</v>
      </c>
      <c r="E1558" s="2" t="s">
        <v>169</v>
      </c>
    </row>
    <row r="1559" customFormat="false" ht="15" hidden="false" customHeight="false" outlineLevel="0" collapsed="false">
      <c r="A1559" s="2" t="s">
        <v>257</v>
      </c>
      <c r="B1559" s="2" t="s">
        <v>652</v>
      </c>
      <c r="C1559" s="2" t="s">
        <v>635</v>
      </c>
      <c r="D1559" s="2" t="s">
        <v>653</v>
      </c>
      <c r="E1559" s="2" t="s">
        <v>169</v>
      </c>
    </row>
    <row r="1560" customFormat="false" ht="15" hidden="false" customHeight="false" outlineLevel="0" collapsed="false">
      <c r="A1560" s="2" t="s">
        <v>257</v>
      </c>
      <c r="B1560" s="2" t="s">
        <v>654</v>
      </c>
      <c r="C1560" s="2" t="s">
        <v>635</v>
      </c>
      <c r="D1560" s="2" t="s">
        <v>655</v>
      </c>
      <c r="E1560" s="2" t="s">
        <v>169</v>
      </c>
    </row>
    <row r="1561" customFormat="false" ht="15" hidden="false" customHeight="false" outlineLevel="0" collapsed="false">
      <c r="A1561" s="2" t="s">
        <v>257</v>
      </c>
      <c r="B1561" s="2" t="s">
        <v>656</v>
      </c>
      <c r="C1561" s="2" t="s">
        <v>642</v>
      </c>
      <c r="D1561" s="2" t="s">
        <v>487</v>
      </c>
      <c r="E1561" s="2" t="s">
        <v>166</v>
      </c>
    </row>
    <row r="1562" customFormat="false" ht="15" hidden="false" customHeight="false" outlineLevel="0" collapsed="false">
      <c r="A1562" s="2" t="s">
        <v>257</v>
      </c>
      <c r="B1562" s="2" t="s">
        <v>320</v>
      </c>
      <c r="C1562" s="2" t="s">
        <v>642</v>
      </c>
      <c r="D1562" s="2" t="s">
        <v>579</v>
      </c>
      <c r="E1562" s="2" t="s">
        <v>167</v>
      </c>
    </row>
    <row r="1563" customFormat="false" ht="15" hidden="false" customHeight="false" outlineLevel="0" collapsed="false">
      <c r="A1563" s="2" t="s">
        <v>257</v>
      </c>
      <c r="B1563" s="2" t="s">
        <v>658</v>
      </c>
      <c r="C1563" s="2" t="s">
        <v>642</v>
      </c>
      <c r="D1563" s="2" t="s">
        <v>487</v>
      </c>
      <c r="E1563" s="2" t="s">
        <v>166</v>
      </c>
    </row>
    <row r="1564" customFormat="false" ht="15" hidden="false" customHeight="false" outlineLevel="0" collapsed="false">
      <c r="A1564" s="2" t="s">
        <v>257</v>
      </c>
      <c r="B1564" s="2" t="s">
        <v>324</v>
      </c>
      <c r="C1564" s="2" t="s">
        <v>642</v>
      </c>
      <c r="D1564" s="2" t="s">
        <v>610</v>
      </c>
      <c r="E1564" s="2" t="s">
        <v>166</v>
      </c>
    </row>
    <row r="1565" customFormat="false" ht="15" hidden="false" customHeight="false" outlineLevel="0" collapsed="false">
      <c r="A1565" s="2" t="s">
        <v>257</v>
      </c>
      <c r="B1565" s="2" t="s">
        <v>704</v>
      </c>
      <c r="C1565" s="2" t="s">
        <v>643</v>
      </c>
      <c r="D1565" s="2" t="s">
        <v>494</v>
      </c>
      <c r="E1565" s="2" t="s">
        <v>167</v>
      </c>
    </row>
    <row r="1566" customFormat="false" ht="15" hidden="false" customHeight="false" outlineLevel="0" collapsed="false">
      <c r="A1566" s="2" t="s">
        <v>257</v>
      </c>
      <c r="B1566" s="2" t="s">
        <v>660</v>
      </c>
      <c r="C1566" s="2" t="s">
        <v>640</v>
      </c>
      <c r="D1566" s="2" t="s">
        <v>355</v>
      </c>
      <c r="E1566" s="2" t="s">
        <v>166</v>
      </c>
    </row>
    <row r="1567" customFormat="false" ht="15" hidden="false" customHeight="false" outlineLevel="0" collapsed="false">
      <c r="A1567" s="2" t="s">
        <v>257</v>
      </c>
      <c r="B1567" s="2" t="s">
        <v>661</v>
      </c>
      <c r="C1567" s="2" t="s">
        <v>641</v>
      </c>
      <c r="D1567" s="2" t="s">
        <v>355</v>
      </c>
      <c r="E1567" s="2" t="s">
        <v>166</v>
      </c>
    </row>
    <row r="1568" customFormat="false" ht="15" hidden="false" customHeight="false" outlineLevel="0" collapsed="false">
      <c r="A1568" s="2" t="s">
        <v>257</v>
      </c>
      <c r="B1568" s="2" t="s">
        <v>662</v>
      </c>
      <c r="C1568" s="2" t="s">
        <v>630</v>
      </c>
      <c r="D1568" s="2" t="s">
        <v>585</v>
      </c>
      <c r="E1568" s="2" t="s">
        <v>167</v>
      </c>
    </row>
    <row r="1569" customFormat="false" ht="15" hidden="false" customHeight="false" outlineLevel="0" collapsed="false">
      <c r="A1569" s="2" t="s">
        <v>257</v>
      </c>
      <c r="B1569" s="2" t="s">
        <v>667</v>
      </c>
      <c r="C1569" s="2" t="s">
        <v>638</v>
      </c>
      <c r="D1569" s="2" t="s">
        <v>668</v>
      </c>
      <c r="E1569" s="2" t="s">
        <v>166</v>
      </c>
    </row>
    <row r="1570" customFormat="false" ht="15" hidden="false" customHeight="false" outlineLevel="0" collapsed="false">
      <c r="A1570" s="2" t="s">
        <v>257</v>
      </c>
      <c r="B1570" s="2" t="s">
        <v>669</v>
      </c>
      <c r="C1570" s="2" t="s">
        <v>636</v>
      </c>
      <c r="D1570" s="2" t="s">
        <v>670</v>
      </c>
      <c r="E1570" s="2" t="s">
        <v>166</v>
      </c>
    </row>
    <row r="1571" customFormat="false" ht="15" hidden="false" customHeight="false" outlineLevel="0" collapsed="false">
      <c r="A1571" s="2" t="s">
        <v>257</v>
      </c>
      <c r="B1571" s="2" t="s">
        <v>671</v>
      </c>
      <c r="C1571" s="2" t="s">
        <v>632</v>
      </c>
      <c r="D1571" s="2" t="s">
        <v>672</v>
      </c>
      <c r="E1571" s="2" t="s">
        <v>166</v>
      </c>
    </row>
    <row r="1572" customFormat="false" ht="15" hidden="false" customHeight="false" outlineLevel="0" collapsed="false">
      <c r="A1572" s="2" t="s">
        <v>257</v>
      </c>
      <c r="B1572" s="2" t="s">
        <v>692</v>
      </c>
      <c r="C1572" s="2" t="s">
        <v>632</v>
      </c>
      <c r="D1572" s="2" t="s">
        <v>523</v>
      </c>
      <c r="E1572" s="2" t="s">
        <v>168</v>
      </c>
    </row>
    <row r="1573" customFormat="false" ht="15" hidden="false" customHeight="false" outlineLevel="0" collapsed="false">
      <c r="A1573" s="2" t="s">
        <v>257</v>
      </c>
      <c r="B1573" s="2" t="s">
        <v>675</v>
      </c>
      <c r="C1573" s="2" t="s">
        <v>632</v>
      </c>
      <c r="D1573" s="2" t="s">
        <v>523</v>
      </c>
      <c r="E1573" s="2" t="s">
        <v>168</v>
      </c>
    </row>
    <row r="1574" customFormat="false" ht="15" hidden="false" customHeight="false" outlineLevel="0" collapsed="false">
      <c r="A1574" s="2" t="s">
        <v>257</v>
      </c>
      <c r="B1574" s="2" t="s">
        <v>412</v>
      </c>
      <c r="C1574" s="2" t="s">
        <v>632</v>
      </c>
      <c r="D1574" s="2" t="s">
        <v>523</v>
      </c>
      <c r="E1574" s="2" t="s">
        <v>168</v>
      </c>
    </row>
    <row r="1575" customFormat="false" ht="15" hidden="false" customHeight="false" outlineLevel="0" collapsed="false">
      <c r="A1575" s="2" t="s">
        <v>257</v>
      </c>
      <c r="B1575" s="2" t="s">
        <v>693</v>
      </c>
      <c r="C1575" s="2" t="s">
        <v>632</v>
      </c>
      <c r="D1575" s="2" t="s">
        <v>523</v>
      </c>
      <c r="E1575" s="2" t="s">
        <v>170</v>
      </c>
    </row>
    <row r="1576" customFormat="false" ht="15" hidden="false" customHeight="false" outlineLevel="0" collapsed="false">
      <c r="A1576" s="2" t="s">
        <v>257</v>
      </c>
      <c r="B1576" s="2" t="s">
        <v>694</v>
      </c>
      <c r="C1576" s="2" t="s">
        <v>633</v>
      </c>
      <c r="D1576" s="2" t="s">
        <v>677</v>
      </c>
      <c r="E1576" s="2" t="s">
        <v>166</v>
      </c>
    </row>
    <row r="1577" customFormat="false" ht="15" hidden="false" customHeight="false" outlineLevel="0" collapsed="false">
      <c r="A1577" s="2" t="s">
        <v>257</v>
      </c>
      <c r="B1577" s="2" t="s">
        <v>678</v>
      </c>
      <c r="C1577" s="2" t="s">
        <v>634</v>
      </c>
      <c r="D1577" s="2" t="s">
        <v>679</v>
      </c>
      <c r="E1577" s="2" t="s">
        <v>166</v>
      </c>
    </row>
    <row r="1578" customFormat="false" ht="15" hidden="false" customHeight="false" outlineLevel="0" collapsed="false">
      <c r="A1578" s="2" t="s">
        <v>257</v>
      </c>
      <c r="B1578" s="2" t="s">
        <v>680</v>
      </c>
      <c r="C1578" s="2" t="s">
        <v>629</v>
      </c>
      <c r="D1578" s="2" t="s">
        <v>681</v>
      </c>
      <c r="E1578" s="2" t="s">
        <v>169</v>
      </c>
    </row>
    <row r="1579" customFormat="false" ht="15" hidden="false" customHeight="false" outlineLevel="0" collapsed="false">
      <c r="A1579" s="2" t="s">
        <v>257</v>
      </c>
      <c r="B1579" s="2" t="s">
        <v>370</v>
      </c>
      <c r="C1579" s="2" t="s">
        <v>627</v>
      </c>
      <c r="D1579" s="2" t="s">
        <v>717</v>
      </c>
      <c r="E1579" s="2" t="s">
        <v>166</v>
      </c>
    </row>
    <row r="1580" customFormat="false" ht="15" hidden="false" customHeight="false" outlineLevel="0" collapsed="false">
      <c r="A1580" s="2" t="s">
        <v>257</v>
      </c>
      <c r="B1580" s="2" t="s">
        <v>696</v>
      </c>
      <c r="C1580" s="2" t="s">
        <v>627</v>
      </c>
      <c r="D1580" s="2" t="s">
        <v>718</v>
      </c>
      <c r="E1580" s="2" t="s">
        <v>168</v>
      </c>
    </row>
    <row r="1581" customFormat="false" ht="15" hidden="false" customHeight="false" outlineLevel="0" collapsed="false">
      <c r="A1581" s="2" t="s">
        <v>257</v>
      </c>
      <c r="B1581" s="2" t="s">
        <v>697</v>
      </c>
      <c r="C1581" s="2" t="s">
        <v>627</v>
      </c>
      <c r="D1581" s="2" t="s">
        <v>718</v>
      </c>
      <c r="E1581" s="2" t="s">
        <v>168</v>
      </c>
    </row>
    <row r="1582" customFormat="false" ht="15" hidden="false" customHeight="false" outlineLevel="0" collapsed="false">
      <c r="A1582" s="2" t="s">
        <v>257</v>
      </c>
      <c r="B1582" s="2" t="s">
        <v>684</v>
      </c>
      <c r="C1582" s="2" t="s">
        <v>627</v>
      </c>
      <c r="D1582" s="2" t="s">
        <v>718</v>
      </c>
      <c r="E1582" s="2" t="s">
        <v>166</v>
      </c>
    </row>
    <row r="1583" customFormat="false" ht="15" hidden="false" customHeight="false" outlineLevel="0" collapsed="false">
      <c r="A1583" s="2" t="s">
        <v>257</v>
      </c>
      <c r="B1583" s="2" t="s">
        <v>410</v>
      </c>
      <c r="C1583" s="2" t="s">
        <v>627</v>
      </c>
      <c r="D1583" s="2" t="s">
        <v>718</v>
      </c>
      <c r="E1583" s="2" t="s">
        <v>166</v>
      </c>
    </row>
    <row r="1584" customFormat="false" ht="15" hidden="false" customHeight="false" outlineLevel="0" collapsed="false">
      <c r="A1584" s="2" t="s">
        <v>257</v>
      </c>
      <c r="B1584" s="2" t="s">
        <v>708</v>
      </c>
      <c r="C1584" s="2" t="s">
        <v>628</v>
      </c>
      <c r="D1584" s="2" t="s">
        <v>719</v>
      </c>
      <c r="E1584" s="2" t="s">
        <v>166</v>
      </c>
    </row>
    <row r="1585" customFormat="false" ht="15" hidden="false" customHeight="false" outlineLevel="0" collapsed="false">
      <c r="A1585" s="2" t="s">
        <v>257</v>
      </c>
      <c r="B1585" s="2" t="s">
        <v>705</v>
      </c>
      <c r="C1585" s="2" t="s">
        <v>639</v>
      </c>
      <c r="D1585" s="2" t="s">
        <v>598</v>
      </c>
      <c r="E1585" s="2" t="s">
        <v>170</v>
      </c>
    </row>
    <row r="1586" customFormat="false" ht="15" hidden="false" customHeight="false" outlineLevel="0" collapsed="false">
      <c r="A1586" s="2" t="s">
        <v>257</v>
      </c>
      <c r="B1586" s="2" t="s">
        <v>705</v>
      </c>
      <c r="C1586" s="2" t="s">
        <v>639</v>
      </c>
      <c r="D1586" s="2" t="s">
        <v>598</v>
      </c>
      <c r="E1586" s="2" t="s">
        <v>170</v>
      </c>
    </row>
    <row r="1587" customFormat="false" ht="15" hidden="false" customHeight="false" outlineLevel="0" collapsed="false">
      <c r="A1587" s="2" t="s">
        <v>257</v>
      </c>
      <c r="B1587" s="2" t="s">
        <v>688</v>
      </c>
      <c r="C1587" s="2" t="s">
        <v>645</v>
      </c>
      <c r="D1587" s="2" t="s">
        <v>373</v>
      </c>
      <c r="E1587" s="2" t="s">
        <v>170</v>
      </c>
    </row>
    <row r="1588" customFormat="false" ht="15" hidden="false" customHeight="false" outlineLevel="0" collapsed="false">
      <c r="A1588" s="2" t="s">
        <v>258</v>
      </c>
      <c r="B1588" s="2" t="s">
        <v>649</v>
      </c>
      <c r="C1588" s="2" t="s">
        <v>635</v>
      </c>
      <c r="D1588" s="2" t="s">
        <v>487</v>
      </c>
      <c r="E1588" s="2" t="s">
        <v>166</v>
      </c>
    </row>
    <row r="1589" customFormat="false" ht="15" hidden="false" customHeight="false" outlineLevel="0" collapsed="false">
      <c r="A1589" s="2" t="s">
        <v>258</v>
      </c>
      <c r="B1589" s="2" t="s">
        <v>650</v>
      </c>
      <c r="C1589" s="2" t="s">
        <v>635</v>
      </c>
      <c r="D1589" s="2" t="s">
        <v>651</v>
      </c>
      <c r="E1589" s="2" t="s">
        <v>169</v>
      </c>
    </row>
    <row r="1590" customFormat="false" ht="15" hidden="false" customHeight="false" outlineLevel="0" collapsed="false">
      <c r="A1590" s="2" t="s">
        <v>258</v>
      </c>
      <c r="B1590" s="2" t="s">
        <v>652</v>
      </c>
      <c r="C1590" s="2" t="s">
        <v>635</v>
      </c>
      <c r="D1590" s="2" t="s">
        <v>653</v>
      </c>
      <c r="E1590" s="2" t="s">
        <v>169</v>
      </c>
    </row>
    <row r="1591" customFormat="false" ht="15" hidden="false" customHeight="false" outlineLevel="0" collapsed="false">
      <c r="A1591" s="2" t="s">
        <v>258</v>
      </c>
      <c r="B1591" s="2" t="s">
        <v>654</v>
      </c>
      <c r="C1591" s="2" t="s">
        <v>635</v>
      </c>
      <c r="D1591" s="2" t="s">
        <v>655</v>
      </c>
      <c r="E1591" s="2" t="s">
        <v>169</v>
      </c>
    </row>
    <row r="1592" customFormat="false" ht="15" hidden="false" customHeight="false" outlineLevel="0" collapsed="false">
      <c r="A1592" s="2" t="s">
        <v>258</v>
      </c>
      <c r="B1592" s="2" t="s">
        <v>656</v>
      </c>
      <c r="C1592" s="2" t="s">
        <v>642</v>
      </c>
      <c r="D1592" s="2" t="s">
        <v>487</v>
      </c>
      <c r="E1592" s="2" t="s">
        <v>166</v>
      </c>
    </row>
    <row r="1593" customFormat="false" ht="15" hidden="false" customHeight="false" outlineLevel="0" collapsed="false">
      <c r="A1593" s="2" t="s">
        <v>258</v>
      </c>
      <c r="B1593" s="2" t="s">
        <v>320</v>
      </c>
      <c r="C1593" s="2" t="s">
        <v>642</v>
      </c>
      <c r="D1593" s="2" t="s">
        <v>657</v>
      </c>
      <c r="E1593" s="2" t="s">
        <v>169</v>
      </c>
    </row>
    <row r="1594" customFormat="false" ht="15" hidden="false" customHeight="false" outlineLevel="0" collapsed="false">
      <c r="A1594" s="2" t="s">
        <v>258</v>
      </c>
      <c r="B1594" s="2" t="s">
        <v>658</v>
      </c>
      <c r="C1594" s="2" t="s">
        <v>642</v>
      </c>
      <c r="D1594" s="2" t="s">
        <v>487</v>
      </c>
      <c r="E1594" s="2" t="s">
        <v>166</v>
      </c>
    </row>
    <row r="1595" customFormat="false" ht="15" hidden="false" customHeight="false" outlineLevel="0" collapsed="false">
      <c r="A1595" s="2" t="s">
        <v>258</v>
      </c>
      <c r="B1595" s="2" t="s">
        <v>324</v>
      </c>
      <c r="C1595" s="2" t="s">
        <v>642</v>
      </c>
      <c r="D1595" s="2" t="s">
        <v>659</v>
      </c>
      <c r="E1595" s="2" t="s">
        <v>169</v>
      </c>
    </row>
    <row r="1596" customFormat="false" ht="15" hidden="false" customHeight="false" outlineLevel="0" collapsed="false">
      <c r="A1596" s="2" t="s">
        <v>258</v>
      </c>
      <c r="B1596" s="2" t="s">
        <v>660</v>
      </c>
      <c r="C1596" s="2" t="s">
        <v>640</v>
      </c>
      <c r="D1596" s="2" t="s">
        <v>355</v>
      </c>
      <c r="E1596" s="2" t="s">
        <v>166</v>
      </c>
    </row>
    <row r="1597" customFormat="false" ht="15" hidden="false" customHeight="false" outlineLevel="0" collapsed="false">
      <c r="A1597" s="2" t="s">
        <v>258</v>
      </c>
      <c r="B1597" s="2" t="s">
        <v>661</v>
      </c>
      <c r="C1597" s="2" t="s">
        <v>641</v>
      </c>
      <c r="D1597" s="2" t="s">
        <v>355</v>
      </c>
      <c r="E1597" s="2" t="s">
        <v>166</v>
      </c>
    </row>
    <row r="1598" customFormat="false" ht="15" hidden="false" customHeight="false" outlineLevel="0" collapsed="false">
      <c r="A1598" s="2" t="s">
        <v>258</v>
      </c>
      <c r="B1598" s="2" t="s">
        <v>662</v>
      </c>
      <c r="C1598" s="2" t="s">
        <v>630</v>
      </c>
      <c r="D1598" s="2" t="s">
        <v>585</v>
      </c>
      <c r="E1598" s="2" t="s">
        <v>167</v>
      </c>
    </row>
    <row r="1599" customFormat="false" ht="15" hidden="false" customHeight="false" outlineLevel="0" collapsed="false">
      <c r="A1599" s="2" t="s">
        <v>258</v>
      </c>
      <c r="B1599" s="2" t="s">
        <v>667</v>
      </c>
      <c r="C1599" s="2" t="s">
        <v>638</v>
      </c>
      <c r="D1599" s="2" t="s">
        <v>668</v>
      </c>
      <c r="E1599" s="2" t="s">
        <v>166</v>
      </c>
    </row>
    <row r="1600" customFormat="false" ht="15" hidden="false" customHeight="false" outlineLevel="0" collapsed="false">
      <c r="A1600" s="2" t="s">
        <v>258</v>
      </c>
      <c r="B1600" s="2" t="s">
        <v>669</v>
      </c>
      <c r="C1600" s="2" t="s">
        <v>636</v>
      </c>
      <c r="D1600" s="2" t="s">
        <v>670</v>
      </c>
      <c r="E1600" s="2" t="s">
        <v>166</v>
      </c>
    </row>
    <row r="1601" customFormat="false" ht="15" hidden="false" customHeight="false" outlineLevel="0" collapsed="false">
      <c r="A1601" s="2" t="s">
        <v>258</v>
      </c>
      <c r="B1601" s="2" t="s">
        <v>700</v>
      </c>
      <c r="C1601" s="2" t="s">
        <v>558</v>
      </c>
      <c r="D1601" s="2" t="s">
        <v>701</v>
      </c>
      <c r="E1601" s="2" t="s">
        <v>166</v>
      </c>
    </row>
    <row r="1602" customFormat="false" ht="15" hidden="false" customHeight="false" outlineLevel="0" collapsed="false">
      <c r="A1602" s="2" t="s">
        <v>258</v>
      </c>
      <c r="B1602" s="2" t="s">
        <v>671</v>
      </c>
      <c r="C1602" s="2" t="s">
        <v>632</v>
      </c>
      <c r="D1602" s="2" t="s">
        <v>672</v>
      </c>
      <c r="E1602" s="2" t="s">
        <v>166</v>
      </c>
    </row>
    <row r="1603" customFormat="false" ht="15" hidden="false" customHeight="false" outlineLevel="0" collapsed="false">
      <c r="A1603" s="2" t="s">
        <v>258</v>
      </c>
      <c r="B1603" s="2" t="s">
        <v>673</v>
      </c>
      <c r="C1603" s="2" t="s">
        <v>632</v>
      </c>
      <c r="D1603" s="2" t="s">
        <v>523</v>
      </c>
      <c r="E1603" s="2" t="s">
        <v>168</v>
      </c>
    </row>
    <row r="1604" customFormat="false" ht="15" hidden="false" customHeight="false" outlineLevel="0" collapsed="false">
      <c r="A1604" s="2" t="s">
        <v>258</v>
      </c>
      <c r="B1604" s="2" t="s">
        <v>674</v>
      </c>
      <c r="C1604" s="2" t="s">
        <v>632</v>
      </c>
      <c r="D1604" s="2" t="s">
        <v>523</v>
      </c>
      <c r="E1604" s="2" t="s">
        <v>168</v>
      </c>
    </row>
    <row r="1605" customFormat="false" ht="15" hidden="false" customHeight="false" outlineLevel="0" collapsed="false">
      <c r="A1605" s="2" t="s">
        <v>258</v>
      </c>
      <c r="B1605" s="2" t="s">
        <v>675</v>
      </c>
      <c r="C1605" s="2" t="s">
        <v>632</v>
      </c>
      <c r="D1605" s="2" t="s">
        <v>523</v>
      </c>
      <c r="E1605" s="2" t="s">
        <v>168</v>
      </c>
    </row>
    <row r="1606" customFormat="false" ht="15" hidden="false" customHeight="false" outlineLevel="0" collapsed="false">
      <c r="A1606" s="2" t="s">
        <v>258</v>
      </c>
      <c r="B1606" s="2" t="s">
        <v>412</v>
      </c>
      <c r="C1606" s="2" t="s">
        <v>632</v>
      </c>
      <c r="D1606" s="2" t="s">
        <v>523</v>
      </c>
      <c r="E1606" s="2" t="s">
        <v>168</v>
      </c>
    </row>
    <row r="1607" customFormat="false" ht="15" hidden="false" customHeight="false" outlineLevel="0" collapsed="false">
      <c r="A1607" s="2" t="s">
        <v>258</v>
      </c>
      <c r="B1607" s="2" t="s">
        <v>694</v>
      </c>
      <c r="C1607" s="2" t="s">
        <v>633</v>
      </c>
      <c r="D1607" s="2" t="s">
        <v>677</v>
      </c>
      <c r="E1607" s="2" t="s">
        <v>166</v>
      </c>
    </row>
    <row r="1608" customFormat="false" ht="15" hidden="false" customHeight="false" outlineLevel="0" collapsed="false">
      <c r="A1608" s="2" t="s">
        <v>258</v>
      </c>
      <c r="B1608" s="2" t="s">
        <v>678</v>
      </c>
      <c r="C1608" s="2" t="s">
        <v>634</v>
      </c>
      <c r="D1608" s="2" t="s">
        <v>695</v>
      </c>
      <c r="E1608" s="2" t="s">
        <v>169</v>
      </c>
    </row>
    <row r="1609" customFormat="false" ht="15" hidden="false" customHeight="false" outlineLevel="0" collapsed="false">
      <c r="A1609" s="2" t="s">
        <v>258</v>
      </c>
      <c r="B1609" s="2" t="s">
        <v>680</v>
      </c>
      <c r="C1609" s="2" t="s">
        <v>629</v>
      </c>
      <c r="D1609" s="2" t="s">
        <v>681</v>
      </c>
      <c r="E1609" s="2" t="s">
        <v>169</v>
      </c>
    </row>
    <row r="1610" customFormat="false" ht="15" hidden="false" customHeight="false" outlineLevel="0" collapsed="false">
      <c r="A1610" s="2" t="s">
        <v>258</v>
      </c>
      <c r="B1610" s="2" t="s">
        <v>370</v>
      </c>
      <c r="C1610" s="2" t="s">
        <v>627</v>
      </c>
      <c r="D1610" s="2" t="s">
        <v>682</v>
      </c>
      <c r="E1610" s="2" t="s">
        <v>166</v>
      </c>
    </row>
    <row r="1611" customFormat="false" ht="15" hidden="false" customHeight="false" outlineLevel="0" collapsed="false">
      <c r="A1611" s="2" t="s">
        <v>258</v>
      </c>
      <c r="B1611" s="2" t="s">
        <v>696</v>
      </c>
      <c r="C1611" s="2" t="s">
        <v>627</v>
      </c>
      <c r="D1611" s="2" t="s">
        <v>402</v>
      </c>
      <c r="E1611" s="2" t="s">
        <v>168</v>
      </c>
    </row>
    <row r="1612" customFormat="false" ht="15" hidden="false" customHeight="false" outlineLevel="0" collapsed="false">
      <c r="A1612" s="2" t="s">
        <v>258</v>
      </c>
      <c r="B1612" s="2" t="s">
        <v>697</v>
      </c>
      <c r="C1612" s="2" t="s">
        <v>627</v>
      </c>
      <c r="D1612" s="2" t="s">
        <v>402</v>
      </c>
      <c r="E1612" s="2" t="s">
        <v>168</v>
      </c>
    </row>
    <row r="1613" customFormat="false" ht="15" hidden="false" customHeight="false" outlineLevel="0" collapsed="false">
      <c r="A1613" s="2" t="s">
        <v>258</v>
      </c>
      <c r="B1613" s="2" t="s">
        <v>683</v>
      </c>
      <c r="C1613" s="2" t="s">
        <v>627</v>
      </c>
      <c r="D1613" s="2" t="s">
        <v>402</v>
      </c>
      <c r="E1613" s="2" t="s">
        <v>168</v>
      </c>
    </row>
    <row r="1614" customFormat="false" ht="15" hidden="false" customHeight="false" outlineLevel="0" collapsed="false">
      <c r="A1614" s="2" t="s">
        <v>258</v>
      </c>
      <c r="B1614" s="2" t="s">
        <v>684</v>
      </c>
      <c r="C1614" s="2" t="s">
        <v>627</v>
      </c>
      <c r="D1614" s="2" t="s">
        <v>402</v>
      </c>
      <c r="E1614" s="2" t="s">
        <v>168</v>
      </c>
    </row>
    <row r="1615" customFormat="false" ht="15" hidden="false" customHeight="false" outlineLevel="0" collapsed="false">
      <c r="A1615" s="2" t="s">
        <v>258</v>
      </c>
      <c r="B1615" s="2" t="s">
        <v>410</v>
      </c>
      <c r="C1615" s="2" t="s">
        <v>627</v>
      </c>
      <c r="D1615" s="2" t="s">
        <v>402</v>
      </c>
      <c r="E1615" s="2" t="s">
        <v>168</v>
      </c>
    </row>
    <row r="1616" customFormat="false" ht="15" hidden="false" customHeight="false" outlineLevel="0" collapsed="false">
      <c r="A1616" s="2" t="s">
        <v>258</v>
      </c>
      <c r="B1616" s="2" t="s">
        <v>686</v>
      </c>
      <c r="C1616" s="2" t="s">
        <v>628</v>
      </c>
      <c r="D1616" s="2" t="s">
        <v>687</v>
      </c>
      <c r="E1616" s="2" t="s">
        <v>166</v>
      </c>
    </row>
    <row r="1617" customFormat="false" ht="15" hidden="false" customHeight="false" outlineLevel="0" collapsed="false">
      <c r="A1617" s="2" t="s">
        <v>258</v>
      </c>
      <c r="B1617" s="2" t="s">
        <v>688</v>
      </c>
      <c r="C1617" s="2" t="s">
        <v>645</v>
      </c>
      <c r="D1617" s="2" t="s">
        <v>373</v>
      </c>
      <c r="E1617" s="2" t="s">
        <v>170</v>
      </c>
    </row>
    <row r="1618" customFormat="false" ht="15" hidden="false" customHeight="false" outlineLevel="0" collapsed="false">
      <c r="A1618" s="2" t="s">
        <v>258</v>
      </c>
      <c r="B1618" s="2" t="s">
        <v>689</v>
      </c>
      <c r="C1618" s="2" t="s">
        <v>645</v>
      </c>
      <c r="D1618" s="2" t="s">
        <v>690</v>
      </c>
      <c r="E1618" s="2" t="s">
        <v>167</v>
      </c>
    </row>
    <row r="1619" customFormat="false" ht="15" hidden="false" customHeight="false" outlineLevel="0" collapsed="false">
      <c r="A1619" s="2" t="s">
        <v>258</v>
      </c>
      <c r="B1619" s="2" t="s">
        <v>691</v>
      </c>
      <c r="C1619" s="2" t="s">
        <v>645</v>
      </c>
      <c r="D1619" s="2" t="s">
        <v>690</v>
      </c>
      <c r="E1619" s="2" t="s">
        <v>167</v>
      </c>
    </row>
    <row r="1620" customFormat="false" ht="15" hidden="false" customHeight="false" outlineLevel="0" collapsed="false">
      <c r="A1620" s="2" t="s">
        <v>261</v>
      </c>
      <c r="B1620" s="2" t="s">
        <v>649</v>
      </c>
      <c r="C1620" s="2" t="s">
        <v>635</v>
      </c>
      <c r="D1620" s="2" t="s">
        <v>487</v>
      </c>
      <c r="E1620" s="2" t="s">
        <v>166</v>
      </c>
    </row>
    <row r="1621" customFormat="false" ht="15" hidden="false" customHeight="false" outlineLevel="0" collapsed="false">
      <c r="A1621" s="2" t="s">
        <v>261</v>
      </c>
      <c r="B1621" s="2" t="s">
        <v>650</v>
      </c>
      <c r="C1621" s="2" t="s">
        <v>635</v>
      </c>
      <c r="D1621" s="2" t="s">
        <v>651</v>
      </c>
      <c r="E1621" s="2" t="s">
        <v>169</v>
      </c>
    </row>
    <row r="1622" customFormat="false" ht="15" hidden="false" customHeight="false" outlineLevel="0" collapsed="false">
      <c r="A1622" s="2" t="s">
        <v>261</v>
      </c>
      <c r="B1622" s="2" t="s">
        <v>652</v>
      </c>
      <c r="C1622" s="2" t="s">
        <v>635</v>
      </c>
      <c r="D1622" s="2" t="s">
        <v>653</v>
      </c>
      <c r="E1622" s="2" t="s">
        <v>169</v>
      </c>
    </row>
    <row r="1623" customFormat="false" ht="15" hidden="false" customHeight="false" outlineLevel="0" collapsed="false">
      <c r="A1623" s="2" t="s">
        <v>261</v>
      </c>
      <c r="B1623" s="2" t="s">
        <v>654</v>
      </c>
      <c r="C1623" s="2" t="s">
        <v>635</v>
      </c>
      <c r="D1623" s="2" t="s">
        <v>655</v>
      </c>
      <c r="E1623" s="2" t="s">
        <v>169</v>
      </c>
    </row>
    <row r="1624" customFormat="false" ht="15" hidden="false" customHeight="false" outlineLevel="0" collapsed="false">
      <c r="A1624" s="2" t="s">
        <v>261</v>
      </c>
      <c r="B1624" s="2" t="s">
        <v>656</v>
      </c>
      <c r="C1624" s="2" t="s">
        <v>642</v>
      </c>
      <c r="D1624" s="2" t="s">
        <v>487</v>
      </c>
      <c r="E1624" s="2" t="s">
        <v>166</v>
      </c>
    </row>
    <row r="1625" customFormat="false" ht="15" hidden="false" customHeight="false" outlineLevel="0" collapsed="false">
      <c r="A1625" s="2" t="s">
        <v>261</v>
      </c>
      <c r="B1625" s="2" t="s">
        <v>320</v>
      </c>
      <c r="C1625" s="2" t="s">
        <v>642</v>
      </c>
      <c r="D1625" s="2" t="s">
        <v>657</v>
      </c>
      <c r="E1625" s="2" t="s">
        <v>169</v>
      </c>
    </row>
    <row r="1626" customFormat="false" ht="15" hidden="false" customHeight="false" outlineLevel="0" collapsed="false">
      <c r="A1626" s="2" t="s">
        <v>261</v>
      </c>
      <c r="B1626" s="2" t="s">
        <v>658</v>
      </c>
      <c r="C1626" s="2" t="s">
        <v>642</v>
      </c>
      <c r="D1626" s="2" t="s">
        <v>487</v>
      </c>
      <c r="E1626" s="2" t="s">
        <v>166</v>
      </c>
    </row>
    <row r="1627" customFormat="false" ht="15" hidden="false" customHeight="false" outlineLevel="0" collapsed="false">
      <c r="A1627" s="2" t="s">
        <v>261</v>
      </c>
      <c r="B1627" s="2" t="s">
        <v>324</v>
      </c>
      <c r="C1627" s="2" t="s">
        <v>642</v>
      </c>
      <c r="D1627" s="2" t="s">
        <v>610</v>
      </c>
      <c r="E1627" s="2" t="s">
        <v>166</v>
      </c>
    </row>
    <row r="1628" customFormat="false" ht="15" hidden="false" customHeight="false" outlineLevel="0" collapsed="false">
      <c r="A1628" s="2" t="s">
        <v>261</v>
      </c>
      <c r="B1628" s="2" t="s">
        <v>660</v>
      </c>
      <c r="C1628" s="2" t="s">
        <v>640</v>
      </c>
      <c r="D1628" s="2" t="s">
        <v>355</v>
      </c>
      <c r="E1628" s="2" t="s">
        <v>166</v>
      </c>
    </row>
    <row r="1629" customFormat="false" ht="15" hidden="false" customHeight="false" outlineLevel="0" collapsed="false">
      <c r="A1629" s="2" t="s">
        <v>261</v>
      </c>
      <c r="B1629" s="2" t="s">
        <v>661</v>
      </c>
      <c r="C1629" s="2" t="s">
        <v>641</v>
      </c>
      <c r="D1629" s="2" t="s">
        <v>355</v>
      </c>
      <c r="E1629" s="2" t="s">
        <v>166</v>
      </c>
    </row>
    <row r="1630" customFormat="false" ht="15" hidden="false" customHeight="false" outlineLevel="0" collapsed="false">
      <c r="A1630" s="2" t="s">
        <v>261</v>
      </c>
      <c r="B1630" s="2" t="s">
        <v>662</v>
      </c>
      <c r="C1630" s="2" t="s">
        <v>630</v>
      </c>
      <c r="D1630" s="2" t="s">
        <v>585</v>
      </c>
      <c r="E1630" s="2" t="s">
        <v>167</v>
      </c>
    </row>
    <row r="1631" customFormat="false" ht="15" hidden="false" customHeight="false" outlineLevel="0" collapsed="false">
      <c r="A1631" s="2" t="s">
        <v>261</v>
      </c>
      <c r="B1631" s="2" t="s">
        <v>667</v>
      </c>
      <c r="C1631" s="2" t="s">
        <v>638</v>
      </c>
      <c r="D1631" s="2" t="s">
        <v>668</v>
      </c>
      <c r="E1631" s="2" t="s">
        <v>166</v>
      </c>
    </row>
    <row r="1632" customFormat="false" ht="15" hidden="false" customHeight="false" outlineLevel="0" collapsed="false">
      <c r="A1632" s="2" t="s">
        <v>261</v>
      </c>
      <c r="B1632" s="2" t="s">
        <v>669</v>
      </c>
      <c r="C1632" s="2" t="s">
        <v>636</v>
      </c>
      <c r="D1632" s="2" t="s">
        <v>670</v>
      </c>
      <c r="E1632" s="2" t="s">
        <v>166</v>
      </c>
    </row>
    <row r="1633" customFormat="false" ht="15" hidden="false" customHeight="false" outlineLevel="0" collapsed="false">
      <c r="A1633" s="2" t="s">
        <v>261</v>
      </c>
      <c r="B1633" s="2" t="s">
        <v>700</v>
      </c>
      <c r="C1633" s="2" t="s">
        <v>558</v>
      </c>
      <c r="D1633" s="2" t="s">
        <v>701</v>
      </c>
      <c r="E1633" s="2" t="s">
        <v>166</v>
      </c>
    </row>
    <row r="1634" customFormat="false" ht="15" hidden="false" customHeight="false" outlineLevel="0" collapsed="false">
      <c r="A1634" s="2" t="s">
        <v>261</v>
      </c>
      <c r="B1634" s="2" t="s">
        <v>671</v>
      </c>
      <c r="C1634" s="2" t="s">
        <v>632</v>
      </c>
      <c r="D1634" s="2" t="s">
        <v>672</v>
      </c>
      <c r="E1634" s="2" t="s">
        <v>166</v>
      </c>
    </row>
    <row r="1635" customFormat="false" ht="15" hidden="false" customHeight="false" outlineLevel="0" collapsed="false">
      <c r="A1635" s="2" t="s">
        <v>261</v>
      </c>
      <c r="B1635" s="2" t="s">
        <v>675</v>
      </c>
      <c r="C1635" s="2" t="s">
        <v>632</v>
      </c>
      <c r="D1635" s="2" t="s">
        <v>523</v>
      </c>
      <c r="E1635" s="2" t="s">
        <v>168</v>
      </c>
    </row>
    <row r="1636" customFormat="false" ht="15" hidden="false" customHeight="false" outlineLevel="0" collapsed="false">
      <c r="A1636" s="2" t="s">
        <v>261</v>
      </c>
      <c r="B1636" s="2" t="s">
        <v>412</v>
      </c>
      <c r="C1636" s="2" t="s">
        <v>632</v>
      </c>
      <c r="D1636" s="2" t="s">
        <v>523</v>
      </c>
      <c r="E1636" s="2" t="s">
        <v>168</v>
      </c>
    </row>
    <row r="1637" customFormat="false" ht="15" hidden="false" customHeight="false" outlineLevel="0" collapsed="false">
      <c r="A1637" s="2" t="s">
        <v>261</v>
      </c>
      <c r="B1637" s="2" t="s">
        <v>693</v>
      </c>
      <c r="C1637" s="2" t="s">
        <v>632</v>
      </c>
      <c r="D1637" s="2" t="s">
        <v>523</v>
      </c>
      <c r="E1637" s="2" t="s">
        <v>170</v>
      </c>
    </row>
    <row r="1638" customFormat="false" ht="15" hidden="false" customHeight="false" outlineLevel="0" collapsed="false">
      <c r="A1638" s="2" t="s">
        <v>261</v>
      </c>
      <c r="B1638" s="2" t="s">
        <v>694</v>
      </c>
      <c r="C1638" s="2" t="s">
        <v>633</v>
      </c>
      <c r="D1638" s="2" t="s">
        <v>677</v>
      </c>
      <c r="E1638" s="2" t="s">
        <v>166</v>
      </c>
    </row>
    <row r="1639" customFormat="false" ht="15" hidden="false" customHeight="false" outlineLevel="0" collapsed="false">
      <c r="A1639" s="2" t="s">
        <v>261</v>
      </c>
      <c r="B1639" s="2" t="s">
        <v>678</v>
      </c>
      <c r="C1639" s="2" t="s">
        <v>634</v>
      </c>
      <c r="D1639" s="2" t="s">
        <v>679</v>
      </c>
      <c r="E1639" s="2" t="s">
        <v>166</v>
      </c>
    </row>
    <row r="1640" customFormat="false" ht="15" hidden="false" customHeight="false" outlineLevel="0" collapsed="false">
      <c r="A1640" s="2" t="s">
        <v>261</v>
      </c>
      <c r="B1640" s="2" t="s">
        <v>680</v>
      </c>
      <c r="C1640" s="2" t="s">
        <v>629</v>
      </c>
      <c r="D1640" s="2" t="s">
        <v>681</v>
      </c>
      <c r="E1640" s="2" t="s">
        <v>169</v>
      </c>
    </row>
    <row r="1641" customFormat="false" ht="15" hidden="false" customHeight="false" outlineLevel="0" collapsed="false">
      <c r="A1641" s="2" t="s">
        <v>261</v>
      </c>
      <c r="B1641" s="2" t="s">
        <v>370</v>
      </c>
      <c r="C1641" s="2" t="s">
        <v>627</v>
      </c>
      <c r="D1641" s="2" t="s">
        <v>682</v>
      </c>
      <c r="E1641" s="2" t="s">
        <v>166</v>
      </c>
    </row>
    <row r="1642" customFormat="false" ht="15" hidden="false" customHeight="false" outlineLevel="0" collapsed="false">
      <c r="A1642" s="2" t="s">
        <v>261</v>
      </c>
      <c r="B1642" s="2" t="s">
        <v>683</v>
      </c>
      <c r="C1642" s="2" t="s">
        <v>627</v>
      </c>
      <c r="D1642" s="2" t="s">
        <v>402</v>
      </c>
      <c r="E1642" s="2" t="s">
        <v>168</v>
      </c>
    </row>
    <row r="1643" customFormat="false" ht="15" hidden="false" customHeight="false" outlineLevel="0" collapsed="false">
      <c r="A1643" s="2" t="s">
        <v>261</v>
      </c>
      <c r="B1643" s="2" t="s">
        <v>684</v>
      </c>
      <c r="C1643" s="2" t="s">
        <v>627</v>
      </c>
      <c r="D1643" s="2" t="s">
        <v>402</v>
      </c>
      <c r="E1643" s="2" t="s">
        <v>168</v>
      </c>
    </row>
    <row r="1644" customFormat="false" ht="15" hidden="false" customHeight="false" outlineLevel="0" collapsed="false">
      <c r="A1644" s="2" t="s">
        <v>261</v>
      </c>
      <c r="B1644" s="2" t="s">
        <v>410</v>
      </c>
      <c r="C1644" s="2" t="s">
        <v>627</v>
      </c>
      <c r="D1644" s="2" t="s">
        <v>402</v>
      </c>
      <c r="E1644" s="2" t="s">
        <v>168</v>
      </c>
    </row>
    <row r="1645" customFormat="false" ht="15" hidden="false" customHeight="false" outlineLevel="0" collapsed="false">
      <c r="A1645" s="2" t="s">
        <v>261</v>
      </c>
      <c r="B1645" s="2" t="s">
        <v>685</v>
      </c>
      <c r="C1645" s="2" t="s">
        <v>627</v>
      </c>
      <c r="D1645" s="2" t="s">
        <v>402</v>
      </c>
      <c r="E1645" s="2" t="s">
        <v>170</v>
      </c>
    </row>
    <row r="1646" customFormat="false" ht="15" hidden="false" customHeight="false" outlineLevel="0" collapsed="false">
      <c r="A1646" s="2" t="s">
        <v>261</v>
      </c>
      <c r="B1646" s="2" t="s">
        <v>686</v>
      </c>
      <c r="C1646" s="2" t="s">
        <v>628</v>
      </c>
      <c r="D1646" s="2" t="s">
        <v>687</v>
      </c>
      <c r="E1646" s="2" t="s">
        <v>166</v>
      </c>
    </row>
    <row r="1647" customFormat="false" ht="15" hidden="false" customHeight="false" outlineLevel="0" collapsed="false">
      <c r="A1647" s="2" t="s">
        <v>261</v>
      </c>
      <c r="B1647" s="2" t="s">
        <v>711</v>
      </c>
      <c r="C1647" s="2" t="s">
        <v>644</v>
      </c>
      <c r="D1647" s="2" t="s">
        <v>604</v>
      </c>
      <c r="E1647" s="2" t="s">
        <v>170</v>
      </c>
    </row>
    <row r="1648" customFormat="false" ht="15" hidden="false" customHeight="false" outlineLevel="0" collapsed="false">
      <c r="A1648" s="2" t="s">
        <v>261</v>
      </c>
      <c r="B1648" s="2" t="s">
        <v>688</v>
      </c>
      <c r="C1648" s="2" t="s">
        <v>645</v>
      </c>
      <c r="D1648" s="2" t="s">
        <v>373</v>
      </c>
      <c r="E1648" s="2" t="s">
        <v>170</v>
      </c>
    </row>
    <row r="1649" customFormat="false" ht="15" hidden="false" customHeight="false" outlineLevel="0" collapsed="false">
      <c r="A1649" s="2" t="s">
        <v>262</v>
      </c>
      <c r="B1649" s="2" t="s">
        <v>649</v>
      </c>
      <c r="C1649" s="2" t="s">
        <v>635</v>
      </c>
      <c r="D1649" s="2" t="s">
        <v>487</v>
      </c>
      <c r="E1649" s="2" t="s">
        <v>166</v>
      </c>
    </row>
    <row r="1650" customFormat="false" ht="15" hidden="false" customHeight="false" outlineLevel="0" collapsed="false">
      <c r="A1650" s="2" t="s">
        <v>262</v>
      </c>
      <c r="B1650" s="2" t="s">
        <v>650</v>
      </c>
      <c r="C1650" s="2" t="s">
        <v>635</v>
      </c>
      <c r="D1650" s="2" t="s">
        <v>651</v>
      </c>
      <c r="E1650" s="2" t="s">
        <v>169</v>
      </c>
    </row>
    <row r="1651" customFormat="false" ht="15" hidden="false" customHeight="false" outlineLevel="0" collapsed="false">
      <c r="A1651" s="2" t="s">
        <v>262</v>
      </c>
      <c r="B1651" s="2" t="s">
        <v>652</v>
      </c>
      <c r="C1651" s="2" t="s">
        <v>635</v>
      </c>
      <c r="D1651" s="2" t="s">
        <v>653</v>
      </c>
      <c r="E1651" s="2" t="s">
        <v>169</v>
      </c>
    </row>
    <row r="1652" customFormat="false" ht="15" hidden="false" customHeight="false" outlineLevel="0" collapsed="false">
      <c r="A1652" s="2" t="s">
        <v>262</v>
      </c>
      <c r="B1652" s="2" t="s">
        <v>654</v>
      </c>
      <c r="C1652" s="2" t="s">
        <v>635</v>
      </c>
      <c r="D1652" s="2" t="s">
        <v>655</v>
      </c>
      <c r="E1652" s="2" t="s">
        <v>169</v>
      </c>
    </row>
    <row r="1653" customFormat="false" ht="15" hidden="false" customHeight="false" outlineLevel="0" collapsed="false">
      <c r="A1653" s="2" t="s">
        <v>262</v>
      </c>
      <c r="B1653" s="2" t="s">
        <v>656</v>
      </c>
      <c r="C1653" s="2" t="s">
        <v>642</v>
      </c>
      <c r="D1653" s="2" t="s">
        <v>487</v>
      </c>
      <c r="E1653" s="2" t="s">
        <v>166</v>
      </c>
    </row>
    <row r="1654" customFormat="false" ht="15" hidden="false" customHeight="false" outlineLevel="0" collapsed="false">
      <c r="A1654" s="2" t="s">
        <v>262</v>
      </c>
      <c r="B1654" s="2" t="s">
        <v>320</v>
      </c>
      <c r="C1654" s="2" t="s">
        <v>642</v>
      </c>
      <c r="D1654" s="2" t="s">
        <v>657</v>
      </c>
      <c r="E1654" s="2" t="s">
        <v>169</v>
      </c>
    </row>
    <row r="1655" customFormat="false" ht="15" hidden="false" customHeight="false" outlineLevel="0" collapsed="false">
      <c r="A1655" s="2" t="s">
        <v>262</v>
      </c>
      <c r="B1655" s="2" t="s">
        <v>658</v>
      </c>
      <c r="C1655" s="2" t="s">
        <v>642</v>
      </c>
      <c r="D1655" s="2" t="s">
        <v>487</v>
      </c>
      <c r="E1655" s="2" t="s">
        <v>166</v>
      </c>
    </row>
    <row r="1656" customFormat="false" ht="15" hidden="false" customHeight="false" outlineLevel="0" collapsed="false">
      <c r="A1656" s="2" t="s">
        <v>262</v>
      </c>
      <c r="B1656" s="2" t="s">
        <v>324</v>
      </c>
      <c r="C1656" s="2" t="s">
        <v>642</v>
      </c>
      <c r="D1656" s="2" t="s">
        <v>659</v>
      </c>
      <c r="E1656" s="2" t="s">
        <v>169</v>
      </c>
    </row>
    <row r="1657" customFormat="false" ht="15" hidden="false" customHeight="false" outlineLevel="0" collapsed="false">
      <c r="A1657" s="2" t="s">
        <v>262</v>
      </c>
      <c r="B1657" s="2" t="s">
        <v>660</v>
      </c>
      <c r="C1657" s="2" t="s">
        <v>640</v>
      </c>
      <c r="D1657" s="2" t="s">
        <v>355</v>
      </c>
      <c r="E1657" s="2" t="s">
        <v>166</v>
      </c>
    </row>
    <row r="1658" customFormat="false" ht="15" hidden="false" customHeight="false" outlineLevel="0" collapsed="false">
      <c r="A1658" s="2" t="s">
        <v>262</v>
      </c>
      <c r="B1658" s="2" t="s">
        <v>661</v>
      </c>
      <c r="C1658" s="2" t="s">
        <v>641</v>
      </c>
      <c r="D1658" s="2" t="s">
        <v>355</v>
      </c>
      <c r="E1658" s="2" t="s">
        <v>166</v>
      </c>
    </row>
    <row r="1659" customFormat="false" ht="15" hidden="false" customHeight="false" outlineLevel="0" collapsed="false">
      <c r="A1659" s="2" t="s">
        <v>262</v>
      </c>
      <c r="B1659" s="2" t="s">
        <v>662</v>
      </c>
      <c r="C1659" s="2" t="s">
        <v>630</v>
      </c>
      <c r="D1659" s="2" t="s">
        <v>585</v>
      </c>
      <c r="E1659" s="2" t="s">
        <v>167</v>
      </c>
    </row>
    <row r="1660" customFormat="false" ht="15" hidden="false" customHeight="false" outlineLevel="0" collapsed="false">
      <c r="A1660" s="2" t="s">
        <v>262</v>
      </c>
      <c r="B1660" s="2" t="s">
        <v>667</v>
      </c>
      <c r="C1660" s="2" t="s">
        <v>638</v>
      </c>
      <c r="D1660" s="2" t="s">
        <v>668</v>
      </c>
      <c r="E1660" s="2" t="s">
        <v>166</v>
      </c>
    </row>
    <row r="1661" customFormat="false" ht="15" hidden="false" customHeight="false" outlineLevel="0" collapsed="false">
      <c r="A1661" s="2" t="s">
        <v>262</v>
      </c>
      <c r="B1661" s="2" t="s">
        <v>669</v>
      </c>
      <c r="C1661" s="2" t="s">
        <v>636</v>
      </c>
      <c r="D1661" s="2" t="s">
        <v>670</v>
      </c>
      <c r="E1661" s="2" t="s">
        <v>166</v>
      </c>
    </row>
    <row r="1662" customFormat="false" ht="15" hidden="false" customHeight="false" outlineLevel="0" collapsed="false">
      <c r="A1662" s="2" t="s">
        <v>262</v>
      </c>
      <c r="B1662" s="2" t="s">
        <v>671</v>
      </c>
      <c r="C1662" s="2" t="s">
        <v>632</v>
      </c>
      <c r="D1662" s="2" t="s">
        <v>672</v>
      </c>
      <c r="E1662" s="2" t="s">
        <v>166</v>
      </c>
    </row>
    <row r="1663" customFormat="false" ht="15" hidden="false" customHeight="false" outlineLevel="0" collapsed="false">
      <c r="A1663" s="2" t="s">
        <v>262</v>
      </c>
      <c r="B1663" s="2" t="s">
        <v>673</v>
      </c>
      <c r="C1663" s="2" t="s">
        <v>632</v>
      </c>
      <c r="D1663" s="2" t="s">
        <v>523</v>
      </c>
      <c r="E1663" s="2" t="s">
        <v>168</v>
      </c>
    </row>
    <row r="1664" customFormat="false" ht="15" hidden="false" customHeight="false" outlineLevel="0" collapsed="false">
      <c r="A1664" s="2" t="s">
        <v>262</v>
      </c>
      <c r="B1664" s="2" t="s">
        <v>674</v>
      </c>
      <c r="C1664" s="2" t="s">
        <v>632</v>
      </c>
      <c r="D1664" s="2" t="s">
        <v>523</v>
      </c>
      <c r="E1664" s="2" t="s">
        <v>168</v>
      </c>
    </row>
    <row r="1665" customFormat="false" ht="15" hidden="false" customHeight="false" outlineLevel="0" collapsed="false">
      <c r="A1665" s="2" t="s">
        <v>262</v>
      </c>
      <c r="B1665" s="2" t="s">
        <v>675</v>
      </c>
      <c r="C1665" s="2" t="s">
        <v>632</v>
      </c>
      <c r="D1665" s="2" t="s">
        <v>523</v>
      </c>
      <c r="E1665" s="2" t="s">
        <v>168</v>
      </c>
    </row>
    <row r="1666" customFormat="false" ht="15" hidden="false" customHeight="false" outlineLevel="0" collapsed="false">
      <c r="A1666" s="2" t="s">
        <v>262</v>
      </c>
      <c r="B1666" s="2" t="s">
        <v>412</v>
      </c>
      <c r="C1666" s="2" t="s">
        <v>632</v>
      </c>
      <c r="D1666" s="2" t="s">
        <v>523</v>
      </c>
      <c r="E1666" s="2" t="s">
        <v>168</v>
      </c>
    </row>
    <row r="1667" customFormat="false" ht="15" hidden="false" customHeight="false" outlineLevel="0" collapsed="false">
      <c r="A1667" s="2" t="s">
        <v>262</v>
      </c>
      <c r="B1667" s="2" t="s">
        <v>694</v>
      </c>
      <c r="C1667" s="2" t="s">
        <v>633</v>
      </c>
      <c r="D1667" s="2" t="s">
        <v>677</v>
      </c>
      <c r="E1667" s="2" t="s">
        <v>166</v>
      </c>
    </row>
    <row r="1668" customFormat="false" ht="15" hidden="false" customHeight="false" outlineLevel="0" collapsed="false">
      <c r="A1668" s="2" t="s">
        <v>262</v>
      </c>
      <c r="B1668" s="2" t="s">
        <v>678</v>
      </c>
      <c r="C1668" s="2" t="s">
        <v>634</v>
      </c>
      <c r="D1668" s="2" t="s">
        <v>679</v>
      </c>
      <c r="E1668" s="2" t="s">
        <v>166</v>
      </c>
    </row>
    <row r="1669" customFormat="false" ht="15" hidden="false" customHeight="false" outlineLevel="0" collapsed="false">
      <c r="A1669" s="2" t="s">
        <v>262</v>
      </c>
      <c r="B1669" s="2" t="s">
        <v>680</v>
      </c>
      <c r="C1669" s="2" t="s">
        <v>629</v>
      </c>
      <c r="D1669" s="2" t="s">
        <v>681</v>
      </c>
      <c r="E1669" s="2" t="s">
        <v>169</v>
      </c>
    </row>
    <row r="1670" customFormat="false" ht="15" hidden="false" customHeight="false" outlineLevel="0" collapsed="false">
      <c r="A1670" s="2" t="s">
        <v>262</v>
      </c>
      <c r="B1670" s="2" t="s">
        <v>370</v>
      </c>
      <c r="C1670" s="2" t="s">
        <v>627</v>
      </c>
      <c r="D1670" s="2" t="s">
        <v>682</v>
      </c>
      <c r="E1670" s="2" t="s">
        <v>166</v>
      </c>
    </row>
    <row r="1671" customFormat="false" ht="15" hidden="false" customHeight="false" outlineLevel="0" collapsed="false">
      <c r="A1671" s="2" t="s">
        <v>262</v>
      </c>
      <c r="B1671" s="2" t="s">
        <v>684</v>
      </c>
      <c r="C1671" s="2" t="s">
        <v>627</v>
      </c>
      <c r="D1671" s="2" t="s">
        <v>402</v>
      </c>
      <c r="E1671" s="2" t="s">
        <v>168</v>
      </c>
    </row>
    <row r="1672" customFormat="false" ht="15" hidden="false" customHeight="false" outlineLevel="0" collapsed="false">
      <c r="A1672" s="2" t="s">
        <v>262</v>
      </c>
      <c r="B1672" s="2" t="s">
        <v>410</v>
      </c>
      <c r="C1672" s="2" t="s">
        <v>627</v>
      </c>
      <c r="D1672" s="2" t="s">
        <v>402</v>
      </c>
      <c r="E1672" s="2" t="s">
        <v>168</v>
      </c>
    </row>
    <row r="1673" customFormat="false" ht="15" hidden="false" customHeight="false" outlineLevel="0" collapsed="false">
      <c r="A1673" s="2" t="s">
        <v>262</v>
      </c>
      <c r="B1673" s="2" t="s">
        <v>685</v>
      </c>
      <c r="C1673" s="2" t="s">
        <v>627</v>
      </c>
      <c r="D1673" s="2" t="s">
        <v>402</v>
      </c>
      <c r="E1673" s="2" t="s">
        <v>170</v>
      </c>
    </row>
    <row r="1674" customFormat="false" ht="15" hidden="false" customHeight="false" outlineLevel="0" collapsed="false">
      <c r="A1674" s="2" t="s">
        <v>262</v>
      </c>
      <c r="B1674" s="2" t="s">
        <v>686</v>
      </c>
      <c r="C1674" s="2" t="s">
        <v>628</v>
      </c>
      <c r="D1674" s="2" t="s">
        <v>687</v>
      </c>
      <c r="E1674" s="2" t="s">
        <v>166</v>
      </c>
    </row>
    <row r="1675" customFormat="false" ht="15" hidden="false" customHeight="false" outlineLevel="0" collapsed="false">
      <c r="A1675" s="2" t="s">
        <v>262</v>
      </c>
      <c r="B1675" s="2" t="s">
        <v>688</v>
      </c>
      <c r="C1675" s="2" t="s">
        <v>645</v>
      </c>
      <c r="D1675" s="2" t="s">
        <v>373</v>
      </c>
      <c r="E1675" s="2" t="s">
        <v>170</v>
      </c>
    </row>
    <row r="1676" customFormat="false" ht="15" hidden="false" customHeight="false" outlineLevel="0" collapsed="false">
      <c r="A1676" s="2" t="s">
        <v>262</v>
      </c>
      <c r="B1676" s="2" t="s">
        <v>689</v>
      </c>
      <c r="C1676" s="2" t="s">
        <v>645</v>
      </c>
      <c r="D1676" s="2" t="s">
        <v>690</v>
      </c>
      <c r="E1676" s="2" t="s">
        <v>167</v>
      </c>
    </row>
    <row r="1677" customFormat="false" ht="15" hidden="false" customHeight="false" outlineLevel="0" collapsed="false">
      <c r="A1677" s="2" t="s">
        <v>262</v>
      </c>
      <c r="B1677" s="2" t="s">
        <v>691</v>
      </c>
      <c r="C1677" s="2" t="s">
        <v>645</v>
      </c>
      <c r="D1677" s="2" t="s">
        <v>690</v>
      </c>
      <c r="E1677" s="2" t="s">
        <v>167</v>
      </c>
    </row>
    <row r="1678" customFormat="false" ht="15" hidden="false" customHeight="false" outlineLevel="0" collapsed="false">
      <c r="A1678" s="2" t="s">
        <v>263</v>
      </c>
      <c r="B1678" s="2" t="s">
        <v>649</v>
      </c>
      <c r="C1678" s="2" t="s">
        <v>635</v>
      </c>
      <c r="D1678" s="2" t="s">
        <v>487</v>
      </c>
      <c r="E1678" s="2" t="s">
        <v>166</v>
      </c>
    </row>
    <row r="1679" customFormat="false" ht="15" hidden="false" customHeight="false" outlineLevel="0" collapsed="false">
      <c r="A1679" s="2" t="s">
        <v>263</v>
      </c>
      <c r="B1679" s="2" t="s">
        <v>650</v>
      </c>
      <c r="C1679" s="2" t="s">
        <v>635</v>
      </c>
      <c r="D1679" s="2" t="s">
        <v>651</v>
      </c>
      <c r="E1679" s="2" t="s">
        <v>169</v>
      </c>
    </row>
    <row r="1680" customFormat="false" ht="15" hidden="false" customHeight="false" outlineLevel="0" collapsed="false">
      <c r="A1680" s="2" t="s">
        <v>263</v>
      </c>
      <c r="B1680" s="2" t="s">
        <v>652</v>
      </c>
      <c r="C1680" s="2" t="s">
        <v>635</v>
      </c>
      <c r="D1680" s="2" t="s">
        <v>653</v>
      </c>
      <c r="E1680" s="2" t="s">
        <v>169</v>
      </c>
    </row>
    <row r="1681" customFormat="false" ht="15" hidden="false" customHeight="false" outlineLevel="0" collapsed="false">
      <c r="A1681" s="2" t="s">
        <v>263</v>
      </c>
      <c r="B1681" s="2" t="s">
        <v>654</v>
      </c>
      <c r="C1681" s="2" t="s">
        <v>635</v>
      </c>
      <c r="D1681" s="2" t="s">
        <v>655</v>
      </c>
      <c r="E1681" s="2" t="s">
        <v>169</v>
      </c>
    </row>
    <row r="1682" customFormat="false" ht="15" hidden="false" customHeight="false" outlineLevel="0" collapsed="false">
      <c r="A1682" s="2" t="s">
        <v>263</v>
      </c>
      <c r="B1682" s="2" t="s">
        <v>656</v>
      </c>
      <c r="C1682" s="2" t="s">
        <v>642</v>
      </c>
      <c r="D1682" s="2" t="s">
        <v>487</v>
      </c>
      <c r="E1682" s="2" t="s">
        <v>166</v>
      </c>
    </row>
    <row r="1683" customFormat="false" ht="15" hidden="false" customHeight="false" outlineLevel="0" collapsed="false">
      <c r="A1683" s="2" t="s">
        <v>263</v>
      </c>
      <c r="B1683" s="2" t="s">
        <v>320</v>
      </c>
      <c r="C1683" s="2" t="s">
        <v>642</v>
      </c>
      <c r="D1683" s="2" t="s">
        <v>657</v>
      </c>
      <c r="E1683" s="2" t="s">
        <v>169</v>
      </c>
    </row>
    <row r="1684" customFormat="false" ht="15" hidden="false" customHeight="false" outlineLevel="0" collapsed="false">
      <c r="A1684" s="2" t="s">
        <v>263</v>
      </c>
      <c r="B1684" s="2" t="s">
        <v>658</v>
      </c>
      <c r="C1684" s="2" t="s">
        <v>642</v>
      </c>
      <c r="D1684" s="2" t="s">
        <v>487</v>
      </c>
      <c r="E1684" s="2" t="s">
        <v>166</v>
      </c>
    </row>
    <row r="1685" customFormat="false" ht="15" hidden="false" customHeight="false" outlineLevel="0" collapsed="false">
      <c r="A1685" s="2" t="s">
        <v>263</v>
      </c>
      <c r="B1685" s="2" t="s">
        <v>324</v>
      </c>
      <c r="C1685" s="2" t="s">
        <v>642</v>
      </c>
      <c r="D1685" s="2" t="s">
        <v>610</v>
      </c>
      <c r="E1685" s="2" t="s">
        <v>166</v>
      </c>
    </row>
    <row r="1686" customFormat="false" ht="15" hidden="false" customHeight="false" outlineLevel="0" collapsed="false">
      <c r="A1686" s="2" t="s">
        <v>263</v>
      </c>
      <c r="B1686" s="2" t="s">
        <v>660</v>
      </c>
      <c r="C1686" s="2" t="s">
        <v>640</v>
      </c>
      <c r="D1686" s="2" t="s">
        <v>355</v>
      </c>
      <c r="E1686" s="2" t="s">
        <v>166</v>
      </c>
    </row>
    <row r="1687" customFormat="false" ht="15" hidden="false" customHeight="false" outlineLevel="0" collapsed="false">
      <c r="A1687" s="2" t="s">
        <v>263</v>
      </c>
      <c r="B1687" s="2" t="s">
        <v>661</v>
      </c>
      <c r="C1687" s="2" t="s">
        <v>641</v>
      </c>
      <c r="D1687" s="2" t="s">
        <v>355</v>
      </c>
      <c r="E1687" s="2" t="s">
        <v>166</v>
      </c>
    </row>
    <row r="1688" customFormat="false" ht="15" hidden="false" customHeight="false" outlineLevel="0" collapsed="false">
      <c r="A1688" s="2" t="s">
        <v>263</v>
      </c>
      <c r="B1688" s="2" t="s">
        <v>662</v>
      </c>
      <c r="C1688" s="2" t="s">
        <v>630</v>
      </c>
      <c r="D1688" s="2" t="s">
        <v>585</v>
      </c>
      <c r="E1688" s="2" t="s">
        <v>167</v>
      </c>
    </row>
    <row r="1689" customFormat="false" ht="15" hidden="false" customHeight="false" outlineLevel="0" collapsed="false">
      <c r="A1689" s="2" t="s">
        <v>263</v>
      </c>
      <c r="B1689" s="2" t="s">
        <v>667</v>
      </c>
      <c r="C1689" s="2" t="s">
        <v>638</v>
      </c>
      <c r="D1689" s="2" t="s">
        <v>668</v>
      </c>
      <c r="E1689" s="2" t="s">
        <v>166</v>
      </c>
    </row>
    <row r="1690" customFormat="false" ht="15" hidden="false" customHeight="false" outlineLevel="0" collapsed="false">
      <c r="A1690" s="2" t="s">
        <v>263</v>
      </c>
      <c r="B1690" s="2" t="s">
        <v>669</v>
      </c>
      <c r="C1690" s="2" t="s">
        <v>636</v>
      </c>
      <c r="D1690" s="2" t="s">
        <v>670</v>
      </c>
      <c r="E1690" s="2" t="s">
        <v>166</v>
      </c>
    </row>
    <row r="1691" customFormat="false" ht="15" hidden="false" customHeight="false" outlineLevel="0" collapsed="false">
      <c r="A1691" s="2" t="s">
        <v>263</v>
      </c>
      <c r="B1691" s="2" t="s">
        <v>671</v>
      </c>
      <c r="C1691" s="2" t="s">
        <v>632</v>
      </c>
      <c r="D1691" s="2" t="s">
        <v>712</v>
      </c>
      <c r="E1691" s="2" t="s">
        <v>166</v>
      </c>
    </row>
    <row r="1692" customFormat="false" ht="15" hidden="false" customHeight="false" outlineLevel="0" collapsed="false">
      <c r="A1692" s="2" t="s">
        <v>263</v>
      </c>
      <c r="B1692" s="2" t="s">
        <v>675</v>
      </c>
      <c r="C1692" s="2" t="s">
        <v>632</v>
      </c>
      <c r="D1692" s="2" t="s">
        <v>713</v>
      </c>
      <c r="E1692" s="2" t="s">
        <v>166</v>
      </c>
    </row>
    <row r="1693" customFormat="false" ht="15" hidden="false" customHeight="false" outlineLevel="0" collapsed="false">
      <c r="A1693" s="2" t="s">
        <v>263</v>
      </c>
      <c r="B1693" s="2" t="s">
        <v>412</v>
      </c>
      <c r="C1693" s="2" t="s">
        <v>632</v>
      </c>
      <c r="D1693" s="2" t="s">
        <v>713</v>
      </c>
      <c r="E1693" s="2" t="s">
        <v>166</v>
      </c>
    </row>
    <row r="1694" customFormat="false" ht="15" hidden="false" customHeight="false" outlineLevel="0" collapsed="false">
      <c r="A1694" s="2" t="s">
        <v>263</v>
      </c>
      <c r="B1694" s="2" t="s">
        <v>693</v>
      </c>
      <c r="C1694" s="2" t="s">
        <v>632</v>
      </c>
      <c r="D1694" s="2" t="s">
        <v>713</v>
      </c>
      <c r="E1694" s="2" t="s">
        <v>170</v>
      </c>
    </row>
    <row r="1695" customFormat="false" ht="15" hidden="false" customHeight="false" outlineLevel="0" collapsed="false">
      <c r="A1695" s="2" t="s">
        <v>263</v>
      </c>
      <c r="B1695" s="2" t="s">
        <v>694</v>
      </c>
      <c r="C1695" s="2" t="s">
        <v>633</v>
      </c>
      <c r="D1695" s="2" t="s">
        <v>714</v>
      </c>
      <c r="E1695" s="2" t="s">
        <v>166</v>
      </c>
    </row>
    <row r="1696" customFormat="false" ht="15" hidden="false" customHeight="false" outlineLevel="0" collapsed="false">
      <c r="A1696" s="2" t="s">
        <v>263</v>
      </c>
      <c r="B1696" s="2" t="s">
        <v>678</v>
      </c>
      <c r="C1696" s="2" t="s">
        <v>634</v>
      </c>
      <c r="D1696" s="2" t="s">
        <v>695</v>
      </c>
      <c r="E1696" s="2" t="s">
        <v>169</v>
      </c>
    </row>
    <row r="1697" customFormat="false" ht="15" hidden="false" customHeight="false" outlineLevel="0" collapsed="false">
      <c r="A1697" s="2" t="s">
        <v>263</v>
      </c>
      <c r="B1697" s="2" t="s">
        <v>680</v>
      </c>
      <c r="C1697" s="2" t="s">
        <v>629</v>
      </c>
      <c r="D1697" s="2" t="s">
        <v>681</v>
      </c>
      <c r="E1697" s="2" t="s">
        <v>169</v>
      </c>
    </row>
    <row r="1698" customFormat="false" ht="15" hidden="false" customHeight="false" outlineLevel="0" collapsed="false">
      <c r="A1698" s="2" t="s">
        <v>263</v>
      </c>
      <c r="B1698" s="2" t="s">
        <v>370</v>
      </c>
      <c r="C1698" s="2" t="s">
        <v>627</v>
      </c>
      <c r="D1698" s="2" t="s">
        <v>682</v>
      </c>
      <c r="E1698" s="2" t="s">
        <v>166</v>
      </c>
    </row>
    <row r="1699" customFormat="false" ht="15" hidden="false" customHeight="false" outlineLevel="0" collapsed="false">
      <c r="A1699" s="2" t="s">
        <v>263</v>
      </c>
      <c r="B1699" s="2" t="s">
        <v>684</v>
      </c>
      <c r="C1699" s="2" t="s">
        <v>627</v>
      </c>
      <c r="D1699" s="2" t="s">
        <v>402</v>
      </c>
      <c r="E1699" s="2" t="s">
        <v>168</v>
      </c>
    </row>
    <row r="1700" customFormat="false" ht="15" hidden="false" customHeight="false" outlineLevel="0" collapsed="false">
      <c r="A1700" s="2" t="s">
        <v>263</v>
      </c>
      <c r="B1700" s="2" t="s">
        <v>410</v>
      </c>
      <c r="C1700" s="2" t="s">
        <v>627</v>
      </c>
      <c r="D1700" s="2" t="s">
        <v>402</v>
      </c>
      <c r="E1700" s="2" t="s">
        <v>168</v>
      </c>
    </row>
    <row r="1701" customFormat="false" ht="15" hidden="false" customHeight="false" outlineLevel="0" collapsed="false">
      <c r="A1701" s="2" t="s">
        <v>263</v>
      </c>
      <c r="B1701" s="2" t="s">
        <v>685</v>
      </c>
      <c r="C1701" s="2" t="s">
        <v>627</v>
      </c>
      <c r="D1701" s="2" t="s">
        <v>402</v>
      </c>
      <c r="E1701" s="2" t="s">
        <v>170</v>
      </c>
    </row>
    <row r="1702" customFormat="false" ht="15" hidden="false" customHeight="false" outlineLevel="0" collapsed="false">
      <c r="A1702" s="2" t="s">
        <v>263</v>
      </c>
      <c r="B1702" s="2" t="s">
        <v>708</v>
      </c>
      <c r="C1702" s="2" t="s">
        <v>628</v>
      </c>
      <c r="D1702" s="2" t="s">
        <v>687</v>
      </c>
      <c r="E1702" s="2" t="s">
        <v>166</v>
      </c>
    </row>
    <row r="1703" customFormat="false" ht="15" hidden="false" customHeight="false" outlineLevel="0" collapsed="false">
      <c r="A1703" s="2" t="s">
        <v>263</v>
      </c>
      <c r="B1703" s="2" t="s">
        <v>705</v>
      </c>
      <c r="C1703" s="2" t="s">
        <v>639</v>
      </c>
      <c r="D1703" s="2" t="s">
        <v>598</v>
      </c>
      <c r="E1703" s="2" t="s">
        <v>170</v>
      </c>
    </row>
    <row r="1704" customFormat="false" ht="15" hidden="false" customHeight="false" outlineLevel="0" collapsed="false">
      <c r="A1704" s="2" t="s">
        <v>263</v>
      </c>
      <c r="B1704" s="2" t="s">
        <v>705</v>
      </c>
      <c r="C1704" s="2" t="s">
        <v>639</v>
      </c>
      <c r="D1704" s="2" t="s">
        <v>598</v>
      </c>
      <c r="E1704" s="2" t="s">
        <v>170</v>
      </c>
    </row>
    <row r="1705" customFormat="false" ht="15" hidden="false" customHeight="false" outlineLevel="0" collapsed="false">
      <c r="A1705" s="2" t="s">
        <v>263</v>
      </c>
      <c r="B1705" s="2" t="s">
        <v>688</v>
      </c>
      <c r="C1705" s="2" t="s">
        <v>645</v>
      </c>
      <c r="D1705" s="2" t="s">
        <v>373</v>
      </c>
      <c r="E1705" s="2" t="s">
        <v>170</v>
      </c>
    </row>
    <row r="1706" customFormat="false" ht="15" hidden="false" customHeight="false" outlineLevel="0" collapsed="false">
      <c r="A1706" s="2" t="s">
        <v>263</v>
      </c>
      <c r="B1706" s="2" t="s">
        <v>689</v>
      </c>
      <c r="C1706" s="2" t="s">
        <v>645</v>
      </c>
      <c r="D1706" s="2" t="s">
        <v>690</v>
      </c>
      <c r="E1706" s="2" t="s">
        <v>167</v>
      </c>
    </row>
    <row r="1707" customFormat="false" ht="15" hidden="false" customHeight="false" outlineLevel="0" collapsed="false">
      <c r="A1707" s="2" t="s">
        <v>263</v>
      </c>
      <c r="B1707" s="2" t="s">
        <v>691</v>
      </c>
      <c r="C1707" s="2" t="s">
        <v>645</v>
      </c>
      <c r="D1707" s="2" t="s">
        <v>690</v>
      </c>
      <c r="E1707" s="2" t="s">
        <v>167</v>
      </c>
    </row>
    <row r="1708" customFormat="false" ht="15" hidden="false" customHeight="false" outlineLevel="0" collapsed="false">
      <c r="A1708" s="2" t="s">
        <v>266</v>
      </c>
      <c r="B1708" s="2" t="s">
        <v>649</v>
      </c>
      <c r="C1708" s="2" t="s">
        <v>635</v>
      </c>
      <c r="D1708" s="2" t="s">
        <v>487</v>
      </c>
      <c r="E1708" s="2" t="s">
        <v>166</v>
      </c>
    </row>
    <row r="1709" customFormat="false" ht="15" hidden="false" customHeight="false" outlineLevel="0" collapsed="false">
      <c r="A1709" s="2" t="s">
        <v>266</v>
      </c>
      <c r="B1709" s="2" t="s">
        <v>650</v>
      </c>
      <c r="C1709" s="2" t="s">
        <v>635</v>
      </c>
      <c r="D1709" s="2" t="s">
        <v>651</v>
      </c>
      <c r="E1709" s="2" t="s">
        <v>169</v>
      </c>
    </row>
    <row r="1710" customFormat="false" ht="15" hidden="false" customHeight="false" outlineLevel="0" collapsed="false">
      <c r="A1710" s="2" t="s">
        <v>266</v>
      </c>
      <c r="B1710" s="2" t="s">
        <v>652</v>
      </c>
      <c r="C1710" s="2" t="s">
        <v>635</v>
      </c>
      <c r="D1710" s="2" t="s">
        <v>653</v>
      </c>
      <c r="E1710" s="2" t="s">
        <v>169</v>
      </c>
    </row>
    <row r="1711" customFormat="false" ht="15" hidden="false" customHeight="false" outlineLevel="0" collapsed="false">
      <c r="A1711" s="2" t="s">
        <v>266</v>
      </c>
      <c r="B1711" s="2" t="s">
        <v>654</v>
      </c>
      <c r="C1711" s="2" t="s">
        <v>635</v>
      </c>
      <c r="D1711" s="2" t="s">
        <v>655</v>
      </c>
      <c r="E1711" s="2" t="s">
        <v>169</v>
      </c>
    </row>
    <row r="1712" customFormat="false" ht="15" hidden="false" customHeight="false" outlineLevel="0" collapsed="false">
      <c r="A1712" s="2" t="s">
        <v>266</v>
      </c>
      <c r="B1712" s="2" t="s">
        <v>656</v>
      </c>
      <c r="C1712" s="2" t="s">
        <v>642</v>
      </c>
      <c r="D1712" s="2" t="s">
        <v>487</v>
      </c>
      <c r="E1712" s="2" t="s">
        <v>166</v>
      </c>
    </row>
    <row r="1713" customFormat="false" ht="15" hidden="false" customHeight="false" outlineLevel="0" collapsed="false">
      <c r="A1713" s="2" t="s">
        <v>266</v>
      </c>
      <c r="B1713" s="2" t="s">
        <v>320</v>
      </c>
      <c r="C1713" s="2" t="s">
        <v>642</v>
      </c>
      <c r="D1713" s="2" t="s">
        <v>657</v>
      </c>
      <c r="E1713" s="2" t="s">
        <v>169</v>
      </c>
    </row>
    <row r="1714" customFormat="false" ht="15" hidden="false" customHeight="false" outlineLevel="0" collapsed="false">
      <c r="A1714" s="2" t="s">
        <v>266</v>
      </c>
      <c r="B1714" s="2" t="s">
        <v>658</v>
      </c>
      <c r="C1714" s="2" t="s">
        <v>642</v>
      </c>
      <c r="D1714" s="2" t="s">
        <v>487</v>
      </c>
      <c r="E1714" s="2" t="s">
        <v>166</v>
      </c>
    </row>
    <row r="1715" customFormat="false" ht="15" hidden="false" customHeight="false" outlineLevel="0" collapsed="false">
      <c r="A1715" s="2" t="s">
        <v>266</v>
      </c>
      <c r="B1715" s="2" t="s">
        <v>324</v>
      </c>
      <c r="C1715" s="2" t="s">
        <v>642</v>
      </c>
      <c r="D1715" s="2" t="s">
        <v>610</v>
      </c>
      <c r="E1715" s="2" t="s">
        <v>166</v>
      </c>
    </row>
    <row r="1716" customFormat="false" ht="15" hidden="false" customHeight="false" outlineLevel="0" collapsed="false">
      <c r="A1716" s="2" t="s">
        <v>266</v>
      </c>
      <c r="B1716" s="2" t="s">
        <v>660</v>
      </c>
      <c r="C1716" s="2" t="s">
        <v>640</v>
      </c>
      <c r="D1716" s="2" t="s">
        <v>355</v>
      </c>
      <c r="E1716" s="2" t="s">
        <v>166</v>
      </c>
    </row>
    <row r="1717" customFormat="false" ht="15" hidden="false" customHeight="false" outlineLevel="0" collapsed="false">
      <c r="A1717" s="2" t="s">
        <v>266</v>
      </c>
      <c r="B1717" s="2" t="s">
        <v>661</v>
      </c>
      <c r="C1717" s="2" t="s">
        <v>641</v>
      </c>
      <c r="D1717" s="2" t="s">
        <v>355</v>
      </c>
      <c r="E1717" s="2" t="s">
        <v>166</v>
      </c>
    </row>
    <row r="1718" customFormat="false" ht="15" hidden="false" customHeight="false" outlineLevel="0" collapsed="false">
      <c r="A1718" s="2" t="s">
        <v>266</v>
      </c>
      <c r="B1718" s="2" t="s">
        <v>662</v>
      </c>
      <c r="C1718" s="2" t="s">
        <v>630</v>
      </c>
      <c r="D1718" s="2" t="s">
        <v>585</v>
      </c>
      <c r="E1718" s="2" t="s">
        <v>167</v>
      </c>
    </row>
    <row r="1719" customFormat="false" ht="15" hidden="false" customHeight="false" outlineLevel="0" collapsed="false">
      <c r="A1719" s="2" t="s">
        <v>266</v>
      </c>
      <c r="B1719" s="2" t="s">
        <v>667</v>
      </c>
      <c r="C1719" s="2" t="s">
        <v>638</v>
      </c>
      <c r="D1719" s="2" t="s">
        <v>668</v>
      </c>
      <c r="E1719" s="2" t="s">
        <v>166</v>
      </c>
    </row>
    <row r="1720" customFormat="false" ht="15" hidden="false" customHeight="false" outlineLevel="0" collapsed="false">
      <c r="A1720" s="2" t="s">
        <v>266</v>
      </c>
      <c r="B1720" s="2" t="s">
        <v>669</v>
      </c>
      <c r="C1720" s="2" t="s">
        <v>636</v>
      </c>
      <c r="D1720" s="2" t="s">
        <v>670</v>
      </c>
      <c r="E1720" s="2" t="s">
        <v>166</v>
      </c>
    </row>
    <row r="1721" customFormat="false" ht="15" hidden="false" customHeight="false" outlineLevel="0" collapsed="false">
      <c r="A1721" s="2" t="s">
        <v>266</v>
      </c>
      <c r="B1721" s="2" t="s">
        <v>671</v>
      </c>
      <c r="C1721" s="2" t="s">
        <v>632</v>
      </c>
      <c r="D1721" s="2" t="s">
        <v>672</v>
      </c>
      <c r="E1721" s="2" t="s">
        <v>166</v>
      </c>
    </row>
    <row r="1722" customFormat="false" ht="15" hidden="false" customHeight="false" outlineLevel="0" collapsed="false">
      <c r="A1722" s="2" t="s">
        <v>266</v>
      </c>
      <c r="B1722" s="2" t="s">
        <v>673</v>
      </c>
      <c r="C1722" s="2" t="s">
        <v>632</v>
      </c>
      <c r="D1722" s="2" t="s">
        <v>523</v>
      </c>
      <c r="E1722" s="2" t="s">
        <v>168</v>
      </c>
    </row>
    <row r="1723" customFormat="false" ht="15" hidden="false" customHeight="false" outlineLevel="0" collapsed="false">
      <c r="A1723" s="2" t="s">
        <v>266</v>
      </c>
      <c r="B1723" s="2" t="s">
        <v>674</v>
      </c>
      <c r="C1723" s="2" t="s">
        <v>632</v>
      </c>
      <c r="D1723" s="2" t="s">
        <v>523</v>
      </c>
      <c r="E1723" s="2" t="s">
        <v>168</v>
      </c>
    </row>
    <row r="1724" customFormat="false" ht="15" hidden="false" customHeight="false" outlineLevel="0" collapsed="false">
      <c r="A1724" s="2" t="s">
        <v>266</v>
      </c>
      <c r="B1724" s="2" t="s">
        <v>692</v>
      </c>
      <c r="C1724" s="2" t="s">
        <v>632</v>
      </c>
      <c r="D1724" s="2" t="s">
        <v>523</v>
      </c>
      <c r="E1724" s="2" t="s">
        <v>168</v>
      </c>
    </row>
    <row r="1725" customFormat="false" ht="15" hidden="false" customHeight="false" outlineLevel="0" collapsed="false">
      <c r="A1725" s="2" t="s">
        <v>266</v>
      </c>
      <c r="B1725" s="2" t="s">
        <v>675</v>
      </c>
      <c r="C1725" s="2" t="s">
        <v>632</v>
      </c>
      <c r="D1725" s="2" t="s">
        <v>523</v>
      </c>
      <c r="E1725" s="2" t="s">
        <v>168</v>
      </c>
    </row>
    <row r="1726" customFormat="false" ht="15" hidden="false" customHeight="false" outlineLevel="0" collapsed="false">
      <c r="A1726" s="2" t="s">
        <v>266</v>
      </c>
      <c r="B1726" s="2" t="s">
        <v>702</v>
      </c>
      <c r="C1726" s="2" t="s">
        <v>632</v>
      </c>
      <c r="D1726" s="2" t="s">
        <v>523</v>
      </c>
      <c r="E1726" s="2" t="s">
        <v>168</v>
      </c>
    </row>
    <row r="1727" customFormat="false" ht="15" hidden="false" customHeight="false" outlineLevel="0" collapsed="false">
      <c r="A1727" s="2" t="s">
        <v>266</v>
      </c>
      <c r="B1727" s="2" t="s">
        <v>412</v>
      </c>
      <c r="C1727" s="2" t="s">
        <v>632</v>
      </c>
      <c r="D1727" s="2" t="s">
        <v>523</v>
      </c>
      <c r="E1727" s="2" t="s">
        <v>168</v>
      </c>
    </row>
    <row r="1728" customFormat="false" ht="15" hidden="false" customHeight="false" outlineLevel="0" collapsed="false">
      <c r="A1728" s="2" t="s">
        <v>266</v>
      </c>
      <c r="B1728" s="2" t="s">
        <v>676</v>
      </c>
      <c r="C1728" s="2" t="s">
        <v>633</v>
      </c>
      <c r="D1728" s="2" t="s">
        <v>677</v>
      </c>
      <c r="E1728" s="2" t="s">
        <v>166</v>
      </c>
    </row>
    <row r="1729" customFormat="false" ht="15" hidden="false" customHeight="false" outlineLevel="0" collapsed="false">
      <c r="A1729" s="2" t="s">
        <v>266</v>
      </c>
      <c r="B1729" s="2" t="s">
        <v>678</v>
      </c>
      <c r="C1729" s="2" t="s">
        <v>634</v>
      </c>
      <c r="D1729" s="2" t="s">
        <v>695</v>
      </c>
      <c r="E1729" s="2" t="s">
        <v>169</v>
      </c>
    </row>
    <row r="1730" customFormat="false" ht="15" hidden="false" customHeight="false" outlineLevel="0" collapsed="false">
      <c r="A1730" s="2" t="s">
        <v>266</v>
      </c>
      <c r="B1730" s="2" t="s">
        <v>680</v>
      </c>
      <c r="C1730" s="2" t="s">
        <v>629</v>
      </c>
      <c r="D1730" s="2" t="s">
        <v>681</v>
      </c>
      <c r="E1730" s="2" t="s">
        <v>169</v>
      </c>
    </row>
    <row r="1731" customFormat="false" ht="15" hidden="false" customHeight="false" outlineLevel="0" collapsed="false">
      <c r="A1731" s="2" t="s">
        <v>266</v>
      </c>
      <c r="B1731" s="2" t="s">
        <v>370</v>
      </c>
      <c r="C1731" s="2" t="s">
        <v>627</v>
      </c>
      <c r="D1731" s="2" t="s">
        <v>682</v>
      </c>
      <c r="E1731" s="2" t="s">
        <v>166</v>
      </c>
    </row>
    <row r="1732" customFormat="false" ht="15" hidden="false" customHeight="false" outlineLevel="0" collapsed="false">
      <c r="A1732" s="2" t="s">
        <v>266</v>
      </c>
      <c r="B1732" s="2" t="s">
        <v>696</v>
      </c>
      <c r="C1732" s="2" t="s">
        <v>627</v>
      </c>
      <c r="D1732" s="2" t="s">
        <v>402</v>
      </c>
      <c r="E1732" s="2" t="s">
        <v>168</v>
      </c>
    </row>
    <row r="1733" customFormat="false" ht="15" hidden="false" customHeight="false" outlineLevel="0" collapsed="false">
      <c r="A1733" s="2" t="s">
        <v>266</v>
      </c>
      <c r="B1733" s="2" t="s">
        <v>697</v>
      </c>
      <c r="C1733" s="2" t="s">
        <v>627</v>
      </c>
      <c r="D1733" s="2" t="s">
        <v>402</v>
      </c>
      <c r="E1733" s="2" t="s">
        <v>168</v>
      </c>
    </row>
    <row r="1734" customFormat="false" ht="15" hidden="false" customHeight="false" outlineLevel="0" collapsed="false">
      <c r="A1734" s="2" t="s">
        <v>266</v>
      </c>
      <c r="B1734" s="2" t="s">
        <v>684</v>
      </c>
      <c r="C1734" s="2" t="s">
        <v>627</v>
      </c>
      <c r="D1734" s="2" t="s">
        <v>402</v>
      </c>
      <c r="E1734" s="2" t="s">
        <v>168</v>
      </c>
    </row>
    <row r="1735" customFormat="false" ht="15" hidden="false" customHeight="false" outlineLevel="0" collapsed="false">
      <c r="A1735" s="2" t="s">
        <v>266</v>
      </c>
      <c r="B1735" s="2" t="s">
        <v>410</v>
      </c>
      <c r="C1735" s="2" t="s">
        <v>627</v>
      </c>
      <c r="D1735" s="2" t="s">
        <v>402</v>
      </c>
      <c r="E1735" s="2" t="s">
        <v>168</v>
      </c>
    </row>
    <row r="1736" customFormat="false" ht="15" hidden="false" customHeight="false" outlineLevel="0" collapsed="false">
      <c r="A1736" s="2" t="s">
        <v>266</v>
      </c>
      <c r="B1736" s="2" t="s">
        <v>708</v>
      </c>
      <c r="C1736" s="2" t="s">
        <v>628</v>
      </c>
      <c r="D1736" s="2" t="s">
        <v>687</v>
      </c>
      <c r="E1736" s="2" t="s">
        <v>166</v>
      </c>
    </row>
    <row r="1737" customFormat="false" ht="15" hidden="false" customHeight="false" outlineLevel="0" collapsed="false">
      <c r="A1737" s="2" t="s">
        <v>266</v>
      </c>
      <c r="B1737" s="2" t="s">
        <v>711</v>
      </c>
      <c r="C1737" s="2" t="s">
        <v>644</v>
      </c>
      <c r="D1737" s="2" t="s">
        <v>604</v>
      </c>
      <c r="E1737" s="2" t="s">
        <v>170</v>
      </c>
    </row>
    <row r="1738" customFormat="false" ht="15" hidden="false" customHeight="false" outlineLevel="0" collapsed="false">
      <c r="A1738" s="2" t="s">
        <v>266</v>
      </c>
      <c r="B1738" s="2" t="s">
        <v>688</v>
      </c>
      <c r="C1738" s="2" t="s">
        <v>645</v>
      </c>
      <c r="D1738" s="2" t="s">
        <v>373</v>
      </c>
      <c r="E1738" s="2" t="s">
        <v>170</v>
      </c>
    </row>
    <row r="1739" customFormat="false" ht="15" hidden="false" customHeight="false" outlineLevel="0" collapsed="false">
      <c r="A1739" s="2" t="s">
        <v>266</v>
      </c>
      <c r="B1739" s="2" t="s">
        <v>709</v>
      </c>
      <c r="C1739" s="2" t="s">
        <v>645</v>
      </c>
      <c r="D1739" s="2" t="s">
        <v>710</v>
      </c>
      <c r="E1739" s="2" t="s">
        <v>167</v>
      </c>
    </row>
    <row r="1740" customFormat="false" ht="15" hidden="false" customHeight="false" outlineLevel="0" collapsed="false">
      <c r="A1740" s="2" t="s">
        <v>267</v>
      </c>
      <c r="B1740" s="2" t="s">
        <v>649</v>
      </c>
      <c r="C1740" s="2" t="s">
        <v>635</v>
      </c>
      <c r="D1740" s="2" t="s">
        <v>487</v>
      </c>
      <c r="E1740" s="2" t="s">
        <v>166</v>
      </c>
    </row>
    <row r="1741" customFormat="false" ht="15" hidden="false" customHeight="false" outlineLevel="0" collapsed="false">
      <c r="A1741" s="2" t="s">
        <v>267</v>
      </c>
      <c r="B1741" s="2" t="s">
        <v>650</v>
      </c>
      <c r="C1741" s="2" t="s">
        <v>635</v>
      </c>
      <c r="D1741" s="2" t="s">
        <v>651</v>
      </c>
      <c r="E1741" s="2" t="s">
        <v>169</v>
      </c>
    </row>
    <row r="1742" customFormat="false" ht="15" hidden="false" customHeight="false" outlineLevel="0" collapsed="false">
      <c r="A1742" s="2" t="s">
        <v>267</v>
      </c>
      <c r="B1742" s="2" t="s">
        <v>652</v>
      </c>
      <c r="C1742" s="2" t="s">
        <v>635</v>
      </c>
      <c r="D1742" s="2" t="s">
        <v>653</v>
      </c>
      <c r="E1742" s="2" t="s">
        <v>169</v>
      </c>
    </row>
    <row r="1743" customFormat="false" ht="15" hidden="false" customHeight="false" outlineLevel="0" collapsed="false">
      <c r="A1743" s="2" t="s">
        <v>267</v>
      </c>
      <c r="B1743" s="2" t="s">
        <v>654</v>
      </c>
      <c r="C1743" s="2" t="s">
        <v>635</v>
      </c>
      <c r="D1743" s="2" t="s">
        <v>655</v>
      </c>
      <c r="E1743" s="2" t="s">
        <v>169</v>
      </c>
    </row>
    <row r="1744" customFormat="false" ht="15" hidden="false" customHeight="false" outlineLevel="0" collapsed="false">
      <c r="A1744" s="2" t="s">
        <v>267</v>
      </c>
      <c r="B1744" s="2" t="s">
        <v>656</v>
      </c>
      <c r="C1744" s="2" t="s">
        <v>642</v>
      </c>
      <c r="D1744" s="2" t="s">
        <v>487</v>
      </c>
      <c r="E1744" s="2" t="s">
        <v>166</v>
      </c>
    </row>
    <row r="1745" customFormat="false" ht="15" hidden="false" customHeight="false" outlineLevel="0" collapsed="false">
      <c r="A1745" s="2" t="s">
        <v>267</v>
      </c>
      <c r="B1745" s="2" t="s">
        <v>320</v>
      </c>
      <c r="C1745" s="2" t="s">
        <v>642</v>
      </c>
      <c r="D1745" s="2" t="s">
        <v>657</v>
      </c>
      <c r="E1745" s="2" t="s">
        <v>169</v>
      </c>
    </row>
    <row r="1746" customFormat="false" ht="15" hidden="false" customHeight="false" outlineLevel="0" collapsed="false">
      <c r="A1746" s="2" t="s">
        <v>267</v>
      </c>
      <c r="B1746" s="2" t="s">
        <v>658</v>
      </c>
      <c r="C1746" s="2" t="s">
        <v>642</v>
      </c>
      <c r="D1746" s="2" t="s">
        <v>487</v>
      </c>
      <c r="E1746" s="2" t="s">
        <v>166</v>
      </c>
    </row>
    <row r="1747" customFormat="false" ht="15" hidden="false" customHeight="false" outlineLevel="0" collapsed="false">
      <c r="A1747" s="2" t="s">
        <v>267</v>
      </c>
      <c r="B1747" s="2" t="s">
        <v>324</v>
      </c>
      <c r="C1747" s="2" t="s">
        <v>642</v>
      </c>
      <c r="D1747" s="2" t="s">
        <v>610</v>
      </c>
      <c r="E1747" s="2" t="s">
        <v>166</v>
      </c>
    </row>
    <row r="1748" customFormat="false" ht="15" hidden="false" customHeight="false" outlineLevel="0" collapsed="false">
      <c r="A1748" s="2" t="s">
        <v>267</v>
      </c>
      <c r="B1748" s="2" t="s">
        <v>660</v>
      </c>
      <c r="C1748" s="2" t="s">
        <v>640</v>
      </c>
      <c r="D1748" s="2" t="s">
        <v>355</v>
      </c>
      <c r="E1748" s="2" t="s">
        <v>166</v>
      </c>
    </row>
    <row r="1749" customFormat="false" ht="15" hidden="false" customHeight="false" outlineLevel="0" collapsed="false">
      <c r="A1749" s="2" t="s">
        <v>267</v>
      </c>
      <c r="B1749" s="2" t="s">
        <v>661</v>
      </c>
      <c r="C1749" s="2" t="s">
        <v>641</v>
      </c>
      <c r="D1749" s="2" t="s">
        <v>355</v>
      </c>
      <c r="E1749" s="2" t="s">
        <v>166</v>
      </c>
    </row>
    <row r="1750" customFormat="false" ht="15" hidden="false" customHeight="false" outlineLevel="0" collapsed="false">
      <c r="A1750" s="2" t="s">
        <v>267</v>
      </c>
      <c r="B1750" s="2" t="s">
        <v>707</v>
      </c>
      <c r="C1750" s="2" t="s">
        <v>637</v>
      </c>
      <c r="D1750" s="2" t="s">
        <v>505</v>
      </c>
      <c r="E1750" s="2" t="s">
        <v>166</v>
      </c>
    </row>
    <row r="1751" customFormat="false" ht="15" hidden="false" customHeight="false" outlineLevel="0" collapsed="false">
      <c r="A1751" s="2" t="s">
        <v>267</v>
      </c>
      <c r="B1751" s="2" t="s">
        <v>716</v>
      </c>
      <c r="C1751" s="2" t="s">
        <v>512</v>
      </c>
      <c r="D1751" s="2" t="s">
        <v>510</v>
      </c>
      <c r="E1751" s="2" t="s">
        <v>166</v>
      </c>
    </row>
    <row r="1752" customFormat="false" ht="15" hidden="false" customHeight="false" outlineLevel="0" collapsed="false">
      <c r="A1752" s="2" t="s">
        <v>267</v>
      </c>
      <c r="B1752" s="2" t="s">
        <v>662</v>
      </c>
      <c r="C1752" s="2" t="s">
        <v>630</v>
      </c>
      <c r="D1752" s="2" t="s">
        <v>585</v>
      </c>
      <c r="E1752" s="2" t="s">
        <v>167</v>
      </c>
    </row>
    <row r="1753" customFormat="false" ht="15" hidden="false" customHeight="false" outlineLevel="0" collapsed="false">
      <c r="A1753" s="2" t="s">
        <v>267</v>
      </c>
      <c r="B1753" s="2" t="s">
        <v>663</v>
      </c>
      <c r="C1753" s="2" t="s">
        <v>631</v>
      </c>
      <c r="D1753" s="2" t="s">
        <v>664</v>
      </c>
      <c r="E1753" s="2" t="s">
        <v>166</v>
      </c>
    </row>
    <row r="1754" customFormat="false" ht="15" hidden="false" customHeight="false" outlineLevel="0" collapsed="false">
      <c r="A1754" s="2" t="s">
        <v>267</v>
      </c>
      <c r="B1754" s="2" t="s">
        <v>665</v>
      </c>
      <c r="C1754" s="2" t="s">
        <v>631</v>
      </c>
      <c r="D1754" s="2" t="s">
        <v>666</v>
      </c>
      <c r="E1754" s="2" t="s">
        <v>169</v>
      </c>
    </row>
    <row r="1755" customFormat="false" ht="15" hidden="false" customHeight="false" outlineLevel="0" collapsed="false">
      <c r="A1755" s="2" t="s">
        <v>267</v>
      </c>
      <c r="B1755" s="2" t="s">
        <v>667</v>
      </c>
      <c r="C1755" s="2" t="s">
        <v>638</v>
      </c>
      <c r="D1755" s="2" t="s">
        <v>668</v>
      </c>
      <c r="E1755" s="2" t="s">
        <v>166</v>
      </c>
    </row>
    <row r="1756" customFormat="false" ht="15" hidden="false" customHeight="false" outlineLevel="0" collapsed="false">
      <c r="A1756" s="2" t="s">
        <v>267</v>
      </c>
      <c r="B1756" s="2" t="s">
        <v>669</v>
      </c>
      <c r="C1756" s="2" t="s">
        <v>636</v>
      </c>
      <c r="D1756" s="2" t="s">
        <v>670</v>
      </c>
      <c r="E1756" s="2" t="s">
        <v>166</v>
      </c>
    </row>
    <row r="1757" customFormat="false" ht="15" hidden="false" customHeight="false" outlineLevel="0" collapsed="false">
      <c r="A1757" s="2" t="s">
        <v>267</v>
      </c>
      <c r="B1757" s="2" t="s">
        <v>671</v>
      </c>
      <c r="C1757" s="2" t="s">
        <v>632</v>
      </c>
      <c r="D1757" s="2" t="s">
        <v>672</v>
      </c>
      <c r="E1757" s="2" t="s">
        <v>166</v>
      </c>
    </row>
    <row r="1758" customFormat="false" ht="15" hidden="false" customHeight="false" outlineLevel="0" collapsed="false">
      <c r="A1758" s="2" t="s">
        <v>267</v>
      </c>
      <c r="B1758" s="2" t="s">
        <v>673</v>
      </c>
      <c r="C1758" s="2" t="s">
        <v>632</v>
      </c>
      <c r="D1758" s="2" t="s">
        <v>523</v>
      </c>
      <c r="E1758" s="2" t="s">
        <v>168</v>
      </c>
    </row>
    <row r="1759" customFormat="false" ht="15" hidden="false" customHeight="false" outlineLevel="0" collapsed="false">
      <c r="A1759" s="2" t="s">
        <v>267</v>
      </c>
      <c r="B1759" s="2" t="s">
        <v>674</v>
      </c>
      <c r="C1759" s="2" t="s">
        <v>632</v>
      </c>
      <c r="D1759" s="2" t="s">
        <v>523</v>
      </c>
      <c r="E1759" s="2" t="s">
        <v>168</v>
      </c>
    </row>
    <row r="1760" customFormat="false" ht="15" hidden="false" customHeight="false" outlineLevel="0" collapsed="false">
      <c r="A1760" s="2" t="s">
        <v>267</v>
      </c>
      <c r="B1760" s="2" t="s">
        <v>692</v>
      </c>
      <c r="C1760" s="2" t="s">
        <v>632</v>
      </c>
      <c r="D1760" s="2" t="s">
        <v>523</v>
      </c>
      <c r="E1760" s="2" t="s">
        <v>168</v>
      </c>
    </row>
    <row r="1761" customFormat="false" ht="15" hidden="false" customHeight="false" outlineLevel="0" collapsed="false">
      <c r="A1761" s="2" t="s">
        <v>267</v>
      </c>
      <c r="B1761" s="2" t="s">
        <v>675</v>
      </c>
      <c r="C1761" s="2" t="s">
        <v>632</v>
      </c>
      <c r="D1761" s="2" t="s">
        <v>523</v>
      </c>
      <c r="E1761" s="2" t="s">
        <v>168</v>
      </c>
    </row>
    <row r="1762" customFormat="false" ht="15" hidden="false" customHeight="false" outlineLevel="0" collapsed="false">
      <c r="A1762" s="2" t="s">
        <v>267</v>
      </c>
      <c r="B1762" s="2" t="s">
        <v>412</v>
      </c>
      <c r="C1762" s="2" t="s">
        <v>632</v>
      </c>
      <c r="D1762" s="2" t="s">
        <v>523</v>
      </c>
      <c r="E1762" s="2" t="s">
        <v>168</v>
      </c>
    </row>
    <row r="1763" customFormat="false" ht="15" hidden="false" customHeight="false" outlineLevel="0" collapsed="false">
      <c r="A1763" s="2" t="s">
        <v>267</v>
      </c>
      <c r="B1763" s="2" t="s">
        <v>676</v>
      </c>
      <c r="C1763" s="2" t="s">
        <v>633</v>
      </c>
      <c r="D1763" s="2" t="s">
        <v>677</v>
      </c>
      <c r="E1763" s="2" t="s">
        <v>166</v>
      </c>
    </row>
    <row r="1764" customFormat="false" ht="15" hidden="false" customHeight="false" outlineLevel="0" collapsed="false">
      <c r="A1764" s="2" t="s">
        <v>267</v>
      </c>
      <c r="B1764" s="2" t="s">
        <v>678</v>
      </c>
      <c r="C1764" s="2" t="s">
        <v>634</v>
      </c>
      <c r="D1764" s="2" t="s">
        <v>679</v>
      </c>
      <c r="E1764" s="2" t="s">
        <v>166</v>
      </c>
    </row>
    <row r="1765" customFormat="false" ht="15" hidden="false" customHeight="false" outlineLevel="0" collapsed="false">
      <c r="A1765" s="2" t="s">
        <v>267</v>
      </c>
      <c r="B1765" s="2" t="s">
        <v>680</v>
      </c>
      <c r="C1765" s="2" t="s">
        <v>629</v>
      </c>
      <c r="D1765" s="2" t="s">
        <v>703</v>
      </c>
      <c r="E1765" s="2" t="s">
        <v>166</v>
      </c>
    </row>
    <row r="1766" customFormat="false" ht="15" hidden="false" customHeight="false" outlineLevel="0" collapsed="false">
      <c r="A1766" s="2" t="s">
        <v>267</v>
      </c>
      <c r="B1766" s="2" t="s">
        <v>370</v>
      </c>
      <c r="C1766" s="2" t="s">
        <v>627</v>
      </c>
      <c r="D1766" s="2" t="s">
        <v>682</v>
      </c>
      <c r="E1766" s="2" t="s">
        <v>166</v>
      </c>
    </row>
    <row r="1767" customFormat="false" ht="15" hidden="false" customHeight="false" outlineLevel="0" collapsed="false">
      <c r="A1767" s="2" t="s">
        <v>267</v>
      </c>
      <c r="B1767" s="2" t="s">
        <v>683</v>
      </c>
      <c r="C1767" s="2" t="s">
        <v>627</v>
      </c>
      <c r="D1767" s="2" t="s">
        <v>402</v>
      </c>
      <c r="E1767" s="2" t="s">
        <v>168</v>
      </c>
    </row>
    <row r="1768" customFormat="false" ht="15" hidden="false" customHeight="false" outlineLevel="0" collapsed="false">
      <c r="A1768" s="2" t="s">
        <v>267</v>
      </c>
      <c r="B1768" s="2" t="s">
        <v>684</v>
      </c>
      <c r="C1768" s="2" t="s">
        <v>627</v>
      </c>
      <c r="D1768" s="2" t="s">
        <v>402</v>
      </c>
      <c r="E1768" s="2" t="s">
        <v>168</v>
      </c>
    </row>
    <row r="1769" customFormat="false" ht="15" hidden="false" customHeight="false" outlineLevel="0" collapsed="false">
      <c r="A1769" s="2" t="s">
        <v>267</v>
      </c>
      <c r="B1769" s="2" t="s">
        <v>410</v>
      </c>
      <c r="C1769" s="2" t="s">
        <v>627</v>
      </c>
      <c r="D1769" s="2" t="s">
        <v>402</v>
      </c>
      <c r="E1769" s="2" t="s">
        <v>168</v>
      </c>
    </row>
    <row r="1770" customFormat="false" ht="15" hidden="false" customHeight="false" outlineLevel="0" collapsed="false">
      <c r="A1770" s="2" t="s">
        <v>267</v>
      </c>
      <c r="B1770" s="2" t="s">
        <v>685</v>
      </c>
      <c r="C1770" s="2" t="s">
        <v>627</v>
      </c>
      <c r="D1770" s="2" t="s">
        <v>402</v>
      </c>
      <c r="E1770" s="2" t="s">
        <v>170</v>
      </c>
    </row>
    <row r="1771" customFormat="false" ht="15" hidden="false" customHeight="false" outlineLevel="0" collapsed="false">
      <c r="A1771" s="2" t="s">
        <v>267</v>
      </c>
      <c r="B1771" s="2" t="s">
        <v>686</v>
      </c>
      <c r="C1771" s="2" t="s">
        <v>628</v>
      </c>
      <c r="D1771" s="2" t="s">
        <v>687</v>
      </c>
      <c r="E1771" s="2" t="s">
        <v>166</v>
      </c>
    </row>
    <row r="1772" customFormat="false" ht="15" hidden="false" customHeight="false" outlineLevel="0" collapsed="false">
      <c r="A1772" s="2" t="s">
        <v>267</v>
      </c>
      <c r="B1772" s="2" t="s">
        <v>711</v>
      </c>
      <c r="C1772" s="2" t="s">
        <v>644</v>
      </c>
      <c r="D1772" s="2" t="s">
        <v>604</v>
      </c>
      <c r="E1772" s="2" t="s">
        <v>170</v>
      </c>
    </row>
    <row r="1773" customFormat="false" ht="15" hidden="false" customHeight="false" outlineLevel="0" collapsed="false">
      <c r="A1773" s="2" t="s">
        <v>267</v>
      </c>
      <c r="B1773" s="2" t="s">
        <v>688</v>
      </c>
      <c r="C1773" s="2" t="s">
        <v>645</v>
      </c>
      <c r="D1773" s="2" t="s">
        <v>373</v>
      </c>
      <c r="E1773" s="2" t="s">
        <v>170</v>
      </c>
    </row>
    <row r="1774" customFormat="false" ht="15" hidden="false" customHeight="false" outlineLevel="0" collapsed="false">
      <c r="A1774" s="2" t="s">
        <v>269</v>
      </c>
      <c r="B1774" s="2" t="s">
        <v>649</v>
      </c>
      <c r="C1774" s="2" t="s">
        <v>635</v>
      </c>
      <c r="D1774" s="2" t="s">
        <v>487</v>
      </c>
      <c r="E1774" s="2" t="s">
        <v>166</v>
      </c>
    </row>
    <row r="1775" customFormat="false" ht="15" hidden="false" customHeight="false" outlineLevel="0" collapsed="false">
      <c r="A1775" s="2" t="s">
        <v>269</v>
      </c>
      <c r="B1775" s="2" t="s">
        <v>650</v>
      </c>
      <c r="C1775" s="2" t="s">
        <v>635</v>
      </c>
      <c r="D1775" s="2" t="s">
        <v>651</v>
      </c>
      <c r="E1775" s="2" t="s">
        <v>169</v>
      </c>
    </row>
    <row r="1776" customFormat="false" ht="15" hidden="false" customHeight="false" outlineLevel="0" collapsed="false">
      <c r="A1776" s="2" t="s">
        <v>269</v>
      </c>
      <c r="B1776" s="2" t="s">
        <v>652</v>
      </c>
      <c r="C1776" s="2" t="s">
        <v>635</v>
      </c>
      <c r="D1776" s="2" t="s">
        <v>653</v>
      </c>
      <c r="E1776" s="2" t="s">
        <v>169</v>
      </c>
    </row>
    <row r="1777" customFormat="false" ht="15" hidden="false" customHeight="false" outlineLevel="0" collapsed="false">
      <c r="A1777" s="2" t="s">
        <v>269</v>
      </c>
      <c r="B1777" s="2" t="s">
        <v>654</v>
      </c>
      <c r="C1777" s="2" t="s">
        <v>635</v>
      </c>
      <c r="D1777" s="2" t="s">
        <v>655</v>
      </c>
      <c r="E1777" s="2" t="s">
        <v>169</v>
      </c>
    </row>
    <row r="1778" customFormat="false" ht="15" hidden="false" customHeight="false" outlineLevel="0" collapsed="false">
      <c r="A1778" s="2" t="s">
        <v>269</v>
      </c>
      <c r="B1778" s="2" t="s">
        <v>656</v>
      </c>
      <c r="C1778" s="2" t="s">
        <v>642</v>
      </c>
      <c r="D1778" s="2" t="s">
        <v>487</v>
      </c>
      <c r="E1778" s="2" t="s">
        <v>166</v>
      </c>
    </row>
    <row r="1779" customFormat="false" ht="15" hidden="false" customHeight="false" outlineLevel="0" collapsed="false">
      <c r="A1779" s="2" t="s">
        <v>269</v>
      </c>
      <c r="B1779" s="2" t="s">
        <v>320</v>
      </c>
      <c r="C1779" s="2" t="s">
        <v>642</v>
      </c>
      <c r="D1779" s="2" t="s">
        <v>657</v>
      </c>
      <c r="E1779" s="2" t="s">
        <v>169</v>
      </c>
    </row>
    <row r="1780" customFormat="false" ht="15" hidden="false" customHeight="false" outlineLevel="0" collapsed="false">
      <c r="A1780" s="2" t="s">
        <v>269</v>
      </c>
      <c r="B1780" s="2" t="s">
        <v>658</v>
      </c>
      <c r="C1780" s="2" t="s">
        <v>642</v>
      </c>
      <c r="D1780" s="2" t="s">
        <v>487</v>
      </c>
      <c r="E1780" s="2" t="s">
        <v>166</v>
      </c>
    </row>
    <row r="1781" customFormat="false" ht="15" hidden="false" customHeight="false" outlineLevel="0" collapsed="false">
      <c r="A1781" s="2" t="s">
        <v>269</v>
      </c>
      <c r="B1781" s="2" t="s">
        <v>324</v>
      </c>
      <c r="C1781" s="2" t="s">
        <v>642</v>
      </c>
      <c r="D1781" s="2" t="s">
        <v>610</v>
      </c>
      <c r="E1781" s="2" t="s">
        <v>166</v>
      </c>
    </row>
    <row r="1782" customFormat="false" ht="15" hidden="false" customHeight="false" outlineLevel="0" collapsed="false">
      <c r="A1782" s="2" t="s">
        <v>269</v>
      </c>
      <c r="B1782" s="2" t="s">
        <v>704</v>
      </c>
      <c r="C1782" s="2" t="s">
        <v>643</v>
      </c>
      <c r="D1782" s="2" t="s">
        <v>494</v>
      </c>
      <c r="E1782" s="2" t="s">
        <v>167</v>
      </c>
    </row>
    <row r="1783" customFormat="false" ht="15" hidden="false" customHeight="false" outlineLevel="0" collapsed="false">
      <c r="A1783" s="2" t="s">
        <v>269</v>
      </c>
      <c r="B1783" s="2" t="s">
        <v>660</v>
      </c>
      <c r="C1783" s="2" t="s">
        <v>640</v>
      </c>
      <c r="D1783" s="2" t="s">
        <v>355</v>
      </c>
      <c r="E1783" s="2" t="s">
        <v>166</v>
      </c>
    </row>
    <row r="1784" customFormat="false" ht="15" hidden="false" customHeight="false" outlineLevel="0" collapsed="false">
      <c r="A1784" s="2" t="s">
        <v>269</v>
      </c>
      <c r="B1784" s="2" t="s">
        <v>661</v>
      </c>
      <c r="C1784" s="2" t="s">
        <v>641</v>
      </c>
      <c r="D1784" s="2" t="s">
        <v>355</v>
      </c>
      <c r="E1784" s="2" t="s">
        <v>166</v>
      </c>
    </row>
    <row r="1785" customFormat="false" ht="15" hidden="false" customHeight="false" outlineLevel="0" collapsed="false">
      <c r="A1785" s="2" t="s">
        <v>269</v>
      </c>
      <c r="B1785" s="2" t="s">
        <v>707</v>
      </c>
      <c r="C1785" s="2" t="s">
        <v>637</v>
      </c>
      <c r="D1785" s="2" t="s">
        <v>505</v>
      </c>
      <c r="E1785" s="2" t="s">
        <v>166</v>
      </c>
    </row>
    <row r="1786" customFormat="false" ht="15" hidden="false" customHeight="false" outlineLevel="0" collapsed="false">
      <c r="A1786" s="2" t="s">
        <v>269</v>
      </c>
      <c r="B1786" s="2" t="s">
        <v>662</v>
      </c>
      <c r="C1786" s="2" t="s">
        <v>630</v>
      </c>
      <c r="D1786" s="2" t="s">
        <v>585</v>
      </c>
      <c r="E1786" s="2" t="s">
        <v>167</v>
      </c>
    </row>
    <row r="1787" customFormat="false" ht="15" hidden="false" customHeight="false" outlineLevel="0" collapsed="false">
      <c r="A1787" s="2" t="s">
        <v>269</v>
      </c>
      <c r="B1787" s="2" t="s">
        <v>667</v>
      </c>
      <c r="C1787" s="2" t="s">
        <v>638</v>
      </c>
      <c r="D1787" s="2" t="s">
        <v>668</v>
      </c>
      <c r="E1787" s="2" t="s">
        <v>166</v>
      </c>
    </row>
    <row r="1788" customFormat="false" ht="15" hidden="false" customHeight="false" outlineLevel="0" collapsed="false">
      <c r="A1788" s="2" t="s">
        <v>269</v>
      </c>
      <c r="B1788" s="2" t="s">
        <v>669</v>
      </c>
      <c r="C1788" s="2" t="s">
        <v>636</v>
      </c>
      <c r="D1788" s="2" t="s">
        <v>670</v>
      </c>
      <c r="E1788" s="2" t="s">
        <v>166</v>
      </c>
    </row>
    <row r="1789" customFormat="false" ht="15" hidden="false" customHeight="false" outlineLevel="0" collapsed="false">
      <c r="A1789" s="2" t="s">
        <v>269</v>
      </c>
      <c r="B1789" s="2" t="s">
        <v>671</v>
      </c>
      <c r="C1789" s="2" t="s">
        <v>632</v>
      </c>
      <c r="D1789" s="2" t="s">
        <v>672</v>
      </c>
      <c r="E1789" s="2" t="s">
        <v>166</v>
      </c>
    </row>
    <row r="1790" customFormat="false" ht="15" hidden="false" customHeight="false" outlineLevel="0" collapsed="false">
      <c r="A1790" s="2" t="s">
        <v>269</v>
      </c>
      <c r="B1790" s="2" t="s">
        <v>675</v>
      </c>
      <c r="C1790" s="2" t="s">
        <v>632</v>
      </c>
      <c r="D1790" s="2" t="s">
        <v>523</v>
      </c>
      <c r="E1790" s="2" t="s">
        <v>168</v>
      </c>
    </row>
    <row r="1791" customFormat="false" ht="15" hidden="false" customHeight="false" outlineLevel="0" collapsed="false">
      <c r="A1791" s="2" t="s">
        <v>269</v>
      </c>
      <c r="B1791" s="2" t="s">
        <v>412</v>
      </c>
      <c r="C1791" s="2" t="s">
        <v>632</v>
      </c>
      <c r="D1791" s="2" t="s">
        <v>523</v>
      </c>
      <c r="E1791" s="2" t="s">
        <v>168</v>
      </c>
    </row>
    <row r="1792" customFormat="false" ht="15" hidden="false" customHeight="false" outlineLevel="0" collapsed="false">
      <c r="A1792" s="2" t="s">
        <v>269</v>
      </c>
      <c r="B1792" s="2" t="s">
        <v>693</v>
      </c>
      <c r="C1792" s="2" t="s">
        <v>632</v>
      </c>
      <c r="D1792" s="2" t="s">
        <v>523</v>
      </c>
      <c r="E1792" s="2" t="s">
        <v>170</v>
      </c>
    </row>
    <row r="1793" customFormat="false" ht="15" hidden="false" customHeight="false" outlineLevel="0" collapsed="false">
      <c r="A1793" s="2" t="s">
        <v>269</v>
      </c>
      <c r="B1793" s="2" t="s">
        <v>694</v>
      </c>
      <c r="C1793" s="2" t="s">
        <v>633</v>
      </c>
      <c r="D1793" s="2" t="s">
        <v>677</v>
      </c>
      <c r="E1793" s="2" t="s">
        <v>166</v>
      </c>
    </row>
    <row r="1794" customFormat="false" ht="15" hidden="false" customHeight="false" outlineLevel="0" collapsed="false">
      <c r="A1794" s="2" t="s">
        <v>269</v>
      </c>
      <c r="B1794" s="2" t="s">
        <v>678</v>
      </c>
      <c r="C1794" s="2" t="s">
        <v>634</v>
      </c>
      <c r="D1794" s="2" t="s">
        <v>695</v>
      </c>
      <c r="E1794" s="2" t="s">
        <v>169</v>
      </c>
    </row>
    <row r="1795" customFormat="false" ht="15" hidden="false" customHeight="false" outlineLevel="0" collapsed="false">
      <c r="A1795" s="2" t="s">
        <v>269</v>
      </c>
      <c r="B1795" s="2" t="s">
        <v>680</v>
      </c>
      <c r="C1795" s="2" t="s">
        <v>629</v>
      </c>
      <c r="D1795" s="2" t="s">
        <v>703</v>
      </c>
      <c r="E1795" s="2" t="s">
        <v>166</v>
      </c>
    </row>
    <row r="1796" customFormat="false" ht="15" hidden="false" customHeight="false" outlineLevel="0" collapsed="false">
      <c r="A1796" s="2" t="s">
        <v>269</v>
      </c>
      <c r="B1796" s="2" t="s">
        <v>370</v>
      </c>
      <c r="C1796" s="2" t="s">
        <v>627</v>
      </c>
      <c r="D1796" s="2" t="s">
        <v>682</v>
      </c>
      <c r="E1796" s="2" t="s">
        <v>166</v>
      </c>
    </row>
    <row r="1797" customFormat="false" ht="15" hidden="false" customHeight="false" outlineLevel="0" collapsed="false">
      <c r="A1797" s="2" t="s">
        <v>269</v>
      </c>
      <c r="B1797" s="2" t="s">
        <v>684</v>
      </c>
      <c r="C1797" s="2" t="s">
        <v>627</v>
      </c>
      <c r="D1797" s="2" t="s">
        <v>402</v>
      </c>
      <c r="E1797" s="2" t="s">
        <v>168</v>
      </c>
    </row>
    <row r="1798" customFormat="false" ht="15" hidden="false" customHeight="false" outlineLevel="0" collapsed="false">
      <c r="A1798" s="2" t="s">
        <v>269</v>
      </c>
      <c r="B1798" s="2" t="s">
        <v>410</v>
      </c>
      <c r="C1798" s="2" t="s">
        <v>627</v>
      </c>
      <c r="D1798" s="2" t="s">
        <v>402</v>
      </c>
      <c r="E1798" s="2" t="s">
        <v>168</v>
      </c>
    </row>
    <row r="1799" customFormat="false" ht="15" hidden="false" customHeight="false" outlineLevel="0" collapsed="false">
      <c r="A1799" s="2" t="s">
        <v>269</v>
      </c>
      <c r="B1799" s="2" t="s">
        <v>685</v>
      </c>
      <c r="C1799" s="2" t="s">
        <v>627</v>
      </c>
      <c r="D1799" s="2" t="s">
        <v>402</v>
      </c>
      <c r="E1799" s="2" t="s">
        <v>170</v>
      </c>
    </row>
    <row r="1800" customFormat="false" ht="15" hidden="false" customHeight="false" outlineLevel="0" collapsed="false">
      <c r="A1800" s="2" t="s">
        <v>269</v>
      </c>
      <c r="B1800" s="2" t="s">
        <v>686</v>
      </c>
      <c r="C1800" s="2" t="s">
        <v>628</v>
      </c>
      <c r="D1800" s="2" t="s">
        <v>687</v>
      </c>
      <c r="E1800" s="2" t="s">
        <v>166</v>
      </c>
    </row>
    <row r="1801" customFormat="false" ht="15" hidden="false" customHeight="false" outlineLevel="0" collapsed="false">
      <c r="A1801" s="2" t="s">
        <v>269</v>
      </c>
      <c r="B1801" s="2" t="s">
        <v>688</v>
      </c>
      <c r="C1801" s="2" t="s">
        <v>645</v>
      </c>
      <c r="D1801" s="2" t="s">
        <v>373</v>
      </c>
      <c r="E1801" s="2" t="s">
        <v>170</v>
      </c>
    </row>
    <row r="1802" customFormat="false" ht="15" hidden="false" customHeight="false" outlineLevel="0" collapsed="false">
      <c r="A1802" s="2" t="s">
        <v>270</v>
      </c>
      <c r="B1802" s="2" t="s">
        <v>649</v>
      </c>
      <c r="C1802" s="2" t="s">
        <v>635</v>
      </c>
      <c r="D1802" s="2" t="s">
        <v>487</v>
      </c>
      <c r="E1802" s="2" t="s">
        <v>166</v>
      </c>
    </row>
    <row r="1803" customFormat="false" ht="15" hidden="false" customHeight="false" outlineLevel="0" collapsed="false">
      <c r="A1803" s="2" t="s">
        <v>270</v>
      </c>
      <c r="B1803" s="2" t="s">
        <v>650</v>
      </c>
      <c r="C1803" s="2" t="s">
        <v>635</v>
      </c>
      <c r="D1803" s="2" t="s">
        <v>651</v>
      </c>
      <c r="E1803" s="2" t="s">
        <v>169</v>
      </c>
    </row>
    <row r="1804" customFormat="false" ht="15" hidden="false" customHeight="false" outlineLevel="0" collapsed="false">
      <c r="A1804" s="2" t="s">
        <v>270</v>
      </c>
      <c r="B1804" s="2" t="s">
        <v>652</v>
      </c>
      <c r="C1804" s="2" t="s">
        <v>635</v>
      </c>
      <c r="D1804" s="2" t="s">
        <v>653</v>
      </c>
      <c r="E1804" s="2" t="s">
        <v>169</v>
      </c>
    </row>
    <row r="1805" customFormat="false" ht="15" hidden="false" customHeight="false" outlineLevel="0" collapsed="false">
      <c r="A1805" s="2" t="s">
        <v>270</v>
      </c>
      <c r="B1805" s="2" t="s">
        <v>654</v>
      </c>
      <c r="C1805" s="2" t="s">
        <v>635</v>
      </c>
      <c r="D1805" s="2" t="s">
        <v>655</v>
      </c>
      <c r="E1805" s="2" t="s">
        <v>169</v>
      </c>
    </row>
    <row r="1806" customFormat="false" ht="15" hidden="false" customHeight="false" outlineLevel="0" collapsed="false">
      <c r="A1806" s="2" t="s">
        <v>270</v>
      </c>
      <c r="B1806" s="2" t="s">
        <v>656</v>
      </c>
      <c r="C1806" s="2" t="s">
        <v>642</v>
      </c>
      <c r="D1806" s="2" t="s">
        <v>487</v>
      </c>
      <c r="E1806" s="2" t="s">
        <v>166</v>
      </c>
    </row>
    <row r="1807" customFormat="false" ht="15" hidden="false" customHeight="false" outlineLevel="0" collapsed="false">
      <c r="A1807" s="2" t="s">
        <v>270</v>
      </c>
      <c r="B1807" s="2" t="s">
        <v>320</v>
      </c>
      <c r="C1807" s="2" t="s">
        <v>642</v>
      </c>
      <c r="D1807" s="2" t="s">
        <v>657</v>
      </c>
      <c r="E1807" s="2" t="s">
        <v>169</v>
      </c>
    </row>
    <row r="1808" customFormat="false" ht="15" hidden="false" customHeight="false" outlineLevel="0" collapsed="false">
      <c r="A1808" s="2" t="s">
        <v>270</v>
      </c>
      <c r="B1808" s="2" t="s">
        <v>658</v>
      </c>
      <c r="C1808" s="2" t="s">
        <v>642</v>
      </c>
      <c r="D1808" s="2" t="s">
        <v>487</v>
      </c>
      <c r="E1808" s="2" t="s">
        <v>166</v>
      </c>
    </row>
    <row r="1809" customFormat="false" ht="15" hidden="false" customHeight="false" outlineLevel="0" collapsed="false">
      <c r="A1809" s="2" t="s">
        <v>270</v>
      </c>
      <c r="B1809" s="2" t="s">
        <v>324</v>
      </c>
      <c r="C1809" s="2" t="s">
        <v>642</v>
      </c>
      <c r="D1809" s="2" t="s">
        <v>610</v>
      </c>
      <c r="E1809" s="2" t="s">
        <v>166</v>
      </c>
    </row>
    <row r="1810" customFormat="false" ht="15" hidden="false" customHeight="false" outlineLevel="0" collapsed="false">
      <c r="A1810" s="2" t="s">
        <v>270</v>
      </c>
      <c r="B1810" s="2" t="s">
        <v>660</v>
      </c>
      <c r="C1810" s="2" t="s">
        <v>640</v>
      </c>
      <c r="D1810" s="2" t="s">
        <v>355</v>
      </c>
      <c r="E1810" s="2" t="s">
        <v>166</v>
      </c>
    </row>
    <row r="1811" customFormat="false" ht="15" hidden="false" customHeight="false" outlineLevel="0" collapsed="false">
      <c r="A1811" s="2" t="s">
        <v>270</v>
      </c>
      <c r="B1811" s="2" t="s">
        <v>661</v>
      </c>
      <c r="C1811" s="2" t="s">
        <v>641</v>
      </c>
      <c r="D1811" s="2" t="s">
        <v>355</v>
      </c>
      <c r="E1811" s="2" t="s">
        <v>166</v>
      </c>
    </row>
    <row r="1812" customFormat="false" ht="15" hidden="false" customHeight="false" outlineLevel="0" collapsed="false">
      <c r="A1812" s="2" t="s">
        <v>270</v>
      </c>
      <c r="B1812" s="2" t="s">
        <v>662</v>
      </c>
      <c r="C1812" s="2" t="s">
        <v>630</v>
      </c>
      <c r="D1812" s="2" t="s">
        <v>585</v>
      </c>
      <c r="E1812" s="2" t="s">
        <v>167</v>
      </c>
    </row>
    <row r="1813" customFormat="false" ht="15" hidden="false" customHeight="false" outlineLevel="0" collapsed="false">
      <c r="A1813" s="2" t="s">
        <v>270</v>
      </c>
      <c r="B1813" s="2" t="s">
        <v>667</v>
      </c>
      <c r="C1813" s="2" t="s">
        <v>638</v>
      </c>
      <c r="D1813" s="2" t="s">
        <v>668</v>
      </c>
      <c r="E1813" s="2" t="s">
        <v>166</v>
      </c>
    </row>
    <row r="1814" customFormat="false" ht="15" hidden="false" customHeight="false" outlineLevel="0" collapsed="false">
      <c r="A1814" s="2" t="s">
        <v>270</v>
      </c>
      <c r="B1814" s="2" t="s">
        <v>669</v>
      </c>
      <c r="C1814" s="2" t="s">
        <v>636</v>
      </c>
      <c r="D1814" s="2" t="s">
        <v>670</v>
      </c>
      <c r="E1814" s="2" t="s">
        <v>166</v>
      </c>
    </row>
    <row r="1815" customFormat="false" ht="15" hidden="false" customHeight="false" outlineLevel="0" collapsed="false">
      <c r="A1815" s="2" t="s">
        <v>270</v>
      </c>
      <c r="B1815" s="2" t="s">
        <v>671</v>
      </c>
      <c r="C1815" s="2" t="s">
        <v>632</v>
      </c>
      <c r="D1815" s="2" t="s">
        <v>672</v>
      </c>
      <c r="E1815" s="2" t="s">
        <v>166</v>
      </c>
    </row>
    <row r="1816" customFormat="false" ht="15" hidden="false" customHeight="false" outlineLevel="0" collapsed="false">
      <c r="A1816" s="2" t="s">
        <v>270</v>
      </c>
      <c r="B1816" s="2" t="s">
        <v>675</v>
      </c>
      <c r="C1816" s="2" t="s">
        <v>632</v>
      </c>
      <c r="D1816" s="2" t="s">
        <v>523</v>
      </c>
      <c r="E1816" s="2" t="s">
        <v>168</v>
      </c>
    </row>
    <row r="1817" customFormat="false" ht="15" hidden="false" customHeight="false" outlineLevel="0" collapsed="false">
      <c r="A1817" s="2" t="s">
        <v>270</v>
      </c>
      <c r="B1817" s="2" t="s">
        <v>412</v>
      </c>
      <c r="C1817" s="2" t="s">
        <v>632</v>
      </c>
      <c r="D1817" s="2" t="s">
        <v>523</v>
      </c>
      <c r="E1817" s="2" t="s">
        <v>168</v>
      </c>
    </row>
    <row r="1818" customFormat="false" ht="15" hidden="false" customHeight="false" outlineLevel="0" collapsed="false">
      <c r="A1818" s="2" t="s">
        <v>270</v>
      </c>
      <c r="B1818" s="2" t="s">
        <v>693</v>
      </c>
      <c r="C1818" s="2" t="s">
        <v>632</v>
      </c>
      <c r="D1818" s="2" t="s">
        <v>523</v>
      </c>
      <c r="E1818" s="2" t="s">
        <v>170</v>
      </c>
    </row>
    <row r="1819" customFormat="false" ht="15" hidden="false" customHeight="false" outlineLevel="0" collapsed="false">
      <c r="A1819" s="2" t="s">
        <v>270</v>
      </c>
      <c r="B1819" s="2" t="s">
        <v>694</v>
      </c>
      <c r="C1819" s="2" t="s">
        <v>633</v>
      </c>
      <c r="D1819" s="2" t="s">
        <v>677</v>
      </c>
      <c r="E1819" s="2" t="s">
        <v>166</v>
      </c>
    </row>
    <row r="1820" customFormat="false" ht="15" hidden="false" customHeight="false" outlineLevel="0" collapsed="false">
      <c r="A1820" s="2" t="s">
        <v>270</v>
      </c>
      <c r="B1820" s="2" t="s">
        <v>678</v>
      </c>
      <c r="C1820" s="2" t="s">
        <v>634</v>
      </c>
      <c r="D1820" s="2" t="s">
        <v>679</v>
      </c>
      <c r="E1820" s="2" t="s">
        <v>166</v>
      </c>
    </row>
    <row r="1821" customFormat="false" ht="15" hidden="false" customHeight="false" outlineLevel="0" collapsed="false">
      <c r="A1821" s="2" t="s">
        <v>270</v>
      </c>
      <c r="B1821" s="2" t="s">
        <v>680</v>
      </c>
      <c r="C1821" s="2" t="s">
        <v>629</v>
      </c>
      <c r="D1821" s="2" t="s">
        <v>703</v>
      </c>
      <c r="E1821" s="2" t="s">
        <v>166</v>
      </c>
    </row>
    <row r="1822" customFormat="false" ht="15" hidden="false" customHeight="false" outlineLevel="0" collapsed="false">
      <c r="A1822" s="2" t="s">
        <v>270</v>
      </c>
      <c r="B1822" s="2" t="s">
        <v>370</v>
      </c>
      <c r="C1822" s="2" t="s">
        <v>627</v>
      </c>
      <c r="D1822" s="2" t="s">
        <v>682</v>
      </c>
      <c r="E1822" s="2" t="s">
        <v>166</v>
      </c>
    </row>
    <row r="1823" customFormat="false" ht="15" hidden="false" customHeight="false" outlineLevel="0" collapsed="false">
      <c r="A1823" s="2" t="s">
        <v>270</v>
      </c>
      <c r="B1823" s="2" t="s">
        <v>696</v>
      </c>
      <c r="C1823" s="2" t="s">
        <v>627</v>
      </c>
      <c r="D1823" s="2" t="s">
        <v>402</v>
      </c>
      <c r="E1823" s="2" t="s">
        <v>168</v>
      </c>
    </row>
    <row r="1824" customFormat="false" ht="15" hidden="false" customHeight="false" outlineLevel="0" collapsed="false">
      <c r="A1824" s="2" t="s">
        <v>270</v>
      </c>
      <c r="B1824" s="2" t="s">
        <v>697</v>
      </c>
      <c r="C1824" s="2" t="s">
        <v>627</v>
      </c>
      <c r="D1824" s="2" t="s">
        <v>402</v>
      </c>
      <c r="E1824" s="2" t="s">
        <v>168</v>
      </c>
    </row>
    <row r="1825" customFormat="false" ht="15" hidden="false" customHeight="false" outlineLevel="0" collapsed="false">
      <c r="A1825" s="2" t="s">
        <v>270</v>
      </c>
      <c r="B1825" s="2" t="s">
        <v>684</v>
      </c>
      <c r="C1825" s="2" t="s">
        <v>627</v>
      </c>
      <c r="D1825" s="2" t="s">
        <v>402</v>
      </c>
      <c r="E1825" s="2" t="s">
        <v>168</v>
      </c>
    </row>
    <row r="1826" customFormat="false" ht="15" hidden="false" customHeight="false" outlineLevel="0" collapsed="false">
      <c r="A1826" s="2" t="s">
        <v>270</v>
      </c>
      <c r="B1826" s="2" t="s">
        <v>410</v>
      </c>
      <c r="C1826" s="2" t="s">
        <v>627</v>
      </c>
      <c r="D1826" s="2" t="s">
        <v>402</v>
      </c>
      <c r="E1826" s="2" t="s">
        <v>168</v>
      </c>
    </row>
    <row r="1827" customFormat="false" ht="15" hidden="false" customHeight="false" outlineLevel="0" collapsed="false">
      <c r="A1827" s="2" t="s">
        <v>270</v>
      </c>
      <c r="B1827" s="2" t="s">
        <v>686</v>
      </c>
      <c r="C1827" s="2" t="s">
        <v>628</v>
      </c>
      <c r="D1827" s="2" t="s">
        <v>687</v>
      </c>
      <c r="E1827" s="2" t="s">
        <v>166</v>
      </c>
    </row>
    <row r="1828" customFormat="false" ht="15" hidden="false" customHeight="false" outlineLevel="0" collapsed="false">
      <c r="A1828" s="2" t="s">
        <v>270</v>
      </c>
      <c r="B1828" s="2" t="s">
        <v>688</v>
      </c>
      <c r="C1828" s="2" t="s">
        <v>645</v>
      </c>
      <c r="D1828" s="2" t="s">
        <v>373</v>
      </c>
      <c r="E1828" s="2" t="s">
        <v>170</v>
      </c>
    </row>
    <row r="1829" customFormat="false" ht="15" hidden="false" customHeight="false" outlineLevel="0" collapsed="false">
      <c r="A1829" s="2" t="s">
        <v>270</v>
      </c>
      <c r="B1829" s="2" t="s">
        <v>689</v>
      </c>
      <c r="C1829" s="2" t="s">
        <v>645</v>
      </c>
      <c r="D1829" s="2" t="s">
        <v>690</v>
      </c>
      <c r="E1829" s="2" t="s">
        <v>167</v>
      </c>
    </row>
    <row r="1830" customFormat="false" ht="15" hidden="false" customHeight="false" outlineLevel="0" collapsed="false">
      <c r="A1830" s="2" t="s">
        <v>270</v>
      </c>
      <c r="B1830" s="2" t="s">
        <v>691</v>
      </c>
      <c r="C1830" s="2" t="s">
        <v>645</v>
      </c>
      <c r="D1830" s="2" t="s">
        <v>690</v>
      </c>
      <c r="E1830" s="2" t="s">
        <v>167</v>
      </c>
    </row>
    <row r="1831" customFormat="false" ht="15" hidden="false" customHeight="false" outlineLevel="0" collapsed="false">
      <c r="A1831" s="2" t="s">
        <v>272</v>
      </c>
      <c r="B1831" s="2" t="s">
        <v>649</v>
      </c>
      <c r="C1831" s="2" t="s">
        <v>635</v>
      </c>
      <c r="D1831" s="2" t="s">
        <v>487</v>
      </c>
      <c r="E1831" s="2" t="s">
        <v>166</v>
      </c>
    </row>
    <row r="1832" customFormat="false" ht="15" hidden="false" customHeight="false" outlineLevel="0" collapsed="false">
      <c r="A1832" s="2" t="s">
        <v>272</v>
      </c>
      <c r="B1832" s="2" t="s">
        <v>650</v>
      </c>
      <c r="C1832" s="2" t="s">
        <v>635</v>
      </c>
      <c r="D1832" s="2" t="s">
        <v>651</v>
      </c>
      <c r="E1832" s="2" t="s">
        <v>169</v>
      </c>
    </row>
    <row r="1833" customFormat="false" ht="15" hidden="false" customHeight="false" outlineLevel="0" collapsed="false">
      <c r="A1833" s="2" t="s">
        <v>272</v>
      </c>
      <c r="B1833" s="2" t="s">
        <v>652</v>
      </c>
      <c r="C1833" s="2" t="s">
        <v>635</v>
      </c>
      <c r="D1833" s="2" t="s">
        <v>653</v>
      </c>
      <c r="E1833" s="2" t="s">
        <v>169</v>
      </c>
    </row>
    <row r="1834" customFormat="false" ht="15" hidden="false" customHeight="false" outlineLevel="0" collapsed="false">
      <c r="A1834" s="2" t="s">
        <v>272</v>
      </c>
      <c r="B1834" s="2" t="s">
        <v>654</v>
      </c>
      <c r="C1834" s="2" t="s">
        <v>635</v>
      </c>
      <c r="D1834" s="2" t="s">
        <v>655</v>
      </c>
      <c r="E1834" s="2" t="s">
        <v>169</v>
      </c>
    </row>
    <row r="1835" customFormat="false" ht="15" hidden="false" customHeight="false" outlineLevel="0" collapsed="false">
      <c r="A1835" s="2" t="s">
        <v>272</v>
      </c>
      <c r="B1835" s="2" t="s">
        <v>656</v>
      </c>
      <c r="C1835" s="2" t="s">
        <v>642</v>
      </c>
      <c r="D1835" s="2" t="s">
        <v>487</v>
      </c>
      <c r="E1835" s="2" t="s">
        <v>166</v>
      </c>
    </row>
    <row r="1836" customFormat="false" ht="15" hidden="false" customHeight="false" outlineLevel="0" collapsed="false">
      <c r="A1836" s="2" t="s">
        <v>272</v>
      </c>
      <c r="B1836" s="2" t="s">
        <v>320</v>
      </c>
      <c r="C1836" s="2" t="s">
        <v>642</v>
      </c>
      <c r="D1836" s="2" t="s">
        <v>579</v>
      </c>
      <c r="E1836" s="2" t="s">
        <v>167</v>
      </c>
    </row>
    <row r="1837" customFormat="false" ht="15" hidden="false" customHeight="false" outlineLevel="0" collapsed="false">
      <c r="A1837" s="2" t="s">
        <v>272</v>
      </c>
      <c r="B1837" s="2" t="s">
        <v>658</v>
      </c>
      <c r="C1837" s="2" t="s">
        <v>642</v>
      </c>
      <c r="D1837" s="2" t="s">
        <v>487</v>
      </c>
      <c r="E1837" s="2" t="s">
        <v>166</v>
      </c>
    </row>
    <row r="1838" customFormat="false" ht="15" hidden="false" customHeight="false" outlineLevel="0" collapsed="false">
      <c r="A1838" s="2" t="s">
        <v>272</v>
      </c>
      <c r="B1838" s="2" t="s">
        <v>324</v>
      </c>
      <c r="C1838" s="2" t="s">
        <v>642</v>
      </c>
      <c r="D1838" s="2" t="s">
        <v>659</v>
      </c>
      <c r="E1838" s="2" t="s">
        <v>169</v>
      </c>
    </row>
    <row r="1839" customFormat="false" ht="15" hidden="false" customHeight="false" outlineLevel="0" collapsed="false">
      <c r="A1839" s="2" t="s">
        <v>272</v>
      </c>
      <c r="B1839" s="2" t="s">
        <v>660</v>
      </c>
      <c r="C1839" s="2" t="s">
        <v>640</v>
      </c>
      <c r="D1839" s="2" t="s">
        <v>355</v>
      </c>
      <c r="E1839" s="2" t="s">
        <v>166</v>
      </c>
    </row>
    <row r="1840" customFormat="false" ht="15" hidden="false" customHeight="false" outlineLevel="0" collapsed="false">
      <c r="A1840" s="2" t="s">
        <v>272</v>
      </c>
      <c r="B1840" s="2" t="s">
        <v>661</v>
      </c>
      <c r="C1840" s="2" t="s">
        <v>641</v>
      </c>
      <c r="D1840" s="2" t="s">
        <v>355</v>
      </c>
      <c r="E1840" s="2" t="s">
        <v>166</v>
      </c>
    </row>
    <row r="1841" customFormat="false" ht="15" hidden="false" customHeight="false" outlineLevel="0" collapsed="false">
      <c r="A1841" s="2" t="s">
        <v>272</v>
      </c>
      <c r="B1841" s="2" t="s">
        <v>707</v>
      </c>
      <c r="C1841" s="2" t="s">
        <v>637</v>
      </c>
      <c r="D1841" s="2" t="s">
        <v>505</v>
      </c>
      <c r="E1841" s="2" t="s">
        <v>166</v>
      </c>
    </row>
    <row r="1842" customFormat="false" ht="15" hidden="false" customHeight="false" outlineLevel="0" collapsed="false">
      <c r="A1842" s="2" t="s">
        <v>272</v>
      </c>
      <c r="B1842" s="2" t="s">
        <v>716</v>
      </c>
      <c r="C1842" s="2" t="s">
        <v>512</v>
      </c>
      <c r="D1842" s="2" t="s">
        <v>510</v>
      </c>
      <c r="E1842" s="2" t="s">
        <v>166</v>
      </c>
    </row>
    <row r="1843" customFormat="false" ht="15" hidden="false" customHeight="false" outlineLevel="0" collapsed="false">
      <c r="A1843" s="2" t="s">
        <v>272</v>
      </c>
      <c r="B1843" s="2" t="s">
        <v>662</v>
      </c>
      <c r="C1843" s="2" t="s">
        <v>630</v>
      </c>
      <c r="D1843" s="2" t="s">
        <v>585</v>
      </c>
      <c r="E1843" s="2" t="s">
        <v>167</v>
      </c>
    </row>
    <row r="1844" customFormat="false" ht="15" hidden="false" customHeight="false" outlineLevel="0" collapsed="false">
      <c r="A1844" s="2" t="s">
        <v>272</v>
      </c>
      <c r="B1844" s="2" t="s">
        <v>667</v>
      </c>
      <c r="C1844" s="2" t="s">
        <v>638</v>
      </c>
      <c r="D1844" s="2" t="s">
        <v>668</v>
      </c>
      <c r="E1844" s="2" t="s">
        <v>166</v>
      </c>
    </row>
    <row r="1845" customFormat="false" ht="15" hidden="false" customHeight="false" outlineLevel="0" collapsed="false">
      <c r="A1845" s="2" t="s">
        <v>272</v>
      </c>
      <c r="B1845" s="2" t="s">
        <v>669</v>
      </c>
      <c r="C1845" s="2" t="s">
        <v>636</v>
      </c>
      <c r="D1845" s="2" t="s">
        <v>670</v>
      </c>
      <c r="E1845" s="2" t="s">
        <v>166</v>
      </c>
    </row>
    <row r="1846" customFormat="false" ht="15" hidden="false" customHeight="false" outlineLevel="0" collapsed="false">
      <c r="A1846" s="2" t="s">
        <v>272</v>
      </c>
      <c r="B1846" s="2" t="s">
        <v>671</v>
      </c>
      <c r="C1846" s="2" t="s">
        <v>632</v>
      </c>
      <c r="D1846" s="2" t="s">
        <v>672</v>
      </c>
      <c r="E1846" s="2" t="s">
        <v>166</v>
      </c>
    </row>
    <row r="1847" customFormat="false" ht="15" hidden="false" customHeight="false" outlineLevel="0" collapsed="false">
      <c r="A1847" s="2" t="s">
        <v>272</v>
      </c>
      <c r="B1847" s="2" t="s">
        <v>675</v>
      </c>
      <c r="C1847" s="2" t="s">
        <v>632</v>
      </c>
      <c r="D1847" s="2" t="s">
        <v>523</v>
      </c>
      <c r="E1847" s="2" t="s">
        <v>168</v>
      </c>
    </row>
    <row r="1848" customFormat="false" ht="15" hidden="false" customHeight="false" outlineLevel="0" collapsed="false">
      <c r="A1848" s="2" t="s">
        <v>272</v>
      </c>
      <c r="B1848" s="2" t="s">
        <v>412</v>
      </c>
      <c r="C1848" s="2" t="s">
        <v>632</v>
      </c>
      <c r="D1848" s="2" t="s">
        <v>523</v>
      </c>
      <c r="E1848" s="2" t="s">
        <v>168</v>
      </c>
    </row>
    <row r="1849" customFormat="false" ht="15" hidden="false" customHeight="false" outlineLevel="0" collapsed="false">
      <c r="A1849" s="2" t="s">
        <v>272</v>
      </c>
      <c r="B1849" s="2" t="s">
        <v>693</v>
      </c>
      <c r="C1849" s="2" t="s">
        <v>632</v>
      </c>
      <c r="D1849" s="2" t="s">
        <v>523</v>
      </c>
      <c r="E1849" s="2" t="s">
        <v>170</v>
      </c>
    </row>
    <row r="1850" customFormat="false" ht="15" hidden="false" customHeight="false" outlineLevel="0" collapsed="false">
      <c r="A1850" s="2" t="s">
        <v>272</v>
      </c>
      <c r="B1850" s="2" t="s">
        <v>694</v>
      </c>
      <c r="C1850" s="2" t="s">
        <v>633</v>
      </c>
      <c r="D1850" s="2" t="s">
        <v>677</v>
      </c>
      <c r="E1850" s="2" t="s">
        <v>166</v>
      </c>
    </row>
    <row r="1851" customFormat="false" ht="15" hidden="false" customHeight="false" outlineLevel="0" collapsed="false">
      <c r="A1851" s="2" t="s">
        <v>272</v>
      </c>
      <c r="B1851" s="2" t="s">
        <v>678</v>
      </c>
      <c r="C1851" s="2" t="s">
        <v>634</v>
      </c>
      <c r="D1851" s="2" t="s">
        <v>695</v>
      </c>
      <c r="E1851" s="2" t="s">
        <v>169</v>
      </c>
    </row>
    <row r="1852" customFormat="false" ht="15" hidden="false" customHeight="false" outlineLevel="0" collapsed="false">
      <c r="A1852" s="2" t="s">
        <v>272</v>
      </c>
      <c r="B1852" s="2" t="s">
        <v>680</v>
      </c>
      <c r="C1852" s="2" t="s">
        <v>629</v>
      </c>
      <c r="D1852" s="2" t="s">
        <v>703</v>
      </c>
      <c r="E1852" s="2" t="s">
        <v>166</v>
      </c>
    </row>
    <row r="1853" customFormat="false" ht="15" hidden="false" customHeight="false" outlineLevel="0" collapsed="false">
      <c r="A1853" s="2" t="s">
        <v>272</v>
      </c>
      <c r="B1853" s="2" t="s">
        <v>370</v>
      </c>
      <c r="C1853" s="2" t="s">
        <v>627</v>
      </c>
      <c r="D1853" s="2" t="s">
        <v>682</v>
      </c>
      <c r="E1853" s="2" t="s">
        <v>166</v>
      </c>
    </row>
    <row r="1854" customFormat="false" ht="15" hidden="false" customHeight="false" outlineLevel="0" collapsed="false">
      <c r="A1854" s="2" t="s">
        <v>272</v>
      </c>
      <c r="B1854" s="2" t="s">
        <v>683</v>
      </c>
      <c r="C1854" s="2" t="s">
        <v>627</v>
      </c>
      <c r="D1854" s="2" t="s">
        <v>402</v>
      </c>
      <c r="E1854" s="2" t="s">
        <v>168</v>
      </c>
    </row>
    <row r="1855" customFormat="false" ht="15" hidden="false" customHeight="false" outlineLevel="0" collapsed="false">
      <c r="A1855" s="2" t="s">
        <v>272</v>
      </c>
      <c r="B1855" s="2" t="s">
        <v>684</v>
      </c>
      <c r="C1855" s="2" t="s">
        <v>627</v>
      </c>
      <c r="D1855" s="2" t="s">
        <v>402</v>
      </c>
      <c r="E1855" s="2" t="s">
        <v>168</v>
      </c>
    </row>
    <row r="1856" customFormat="false" ht="15" hidden="false" customHeight="false" outlineLevel="0" collapsed="false">
      <c r="A1856" s="2" t="s">
        <v>272</v>
      </c>
      <c r="B1856" s="2" t="s">
        <v>410</v>
      </c>
      <c r="C1856" s="2" t="s">
        <v>627</v>
      </c>
      <c r="D1856" s="2" t="s">
        <v>402</v>
      </c>
      <c r="E1856" s="2" t="s">
        <v>168</v>
      </c>
    </row>
    <row r="1857" customFormat="false" ht="15" hidden="false" customHeight="false" outlineLevel="0" collapsed="false">
      <c r="A1857" s="2" t="s">
        <v>272</v>
      </c>
      <c r="B1857" s="2" t="s">
        <v>685</v>
      </c>
      <c r="C1857" s="2" t="s">
        <v>627</v>
      </c>
      <c r="D1857" s="2" t="s">
        <v>402</v>
      </c>
      <c r="E1857" s="2" t="s">
        <v>170</v>
      </c>
    </row>
    <row r="1858" customFormat="false" ht="15" hidden="false" customHeight="false" outlineLevel="0" collapsed="false">
      <c r="A1858" s="2" t="s">
        <v>272</v>
      </c>
      <c r="B1858" s="2" t="s">
        <v>686</v>
      </c>
      <c r="C1858" s="2" t="s">
        <v>628</v>
      </c>
      <c r="D1858" s="2" t="s">
        <v>687</v>
      </c>
      <c r="E1858" s="2" t="s">
        <v>166</v>
      </c>
    </row>
    <row r="1859" customFormat="false" ht="15" hidden="false" customHeight="false" outlineLevel="0" collapsed="false">
      <c r="A1859" s="2" t="s">
        <v>272</v>
      </c>
      <c r="B1859" s="2" t="s">
        <v>705</v>
      </c>
      <c r="C1859" s="2" t="s">
        <v>639</v>
      </c>
      <c r="D1859" s="2" t="s">
        <v>598</v>
      </c>
      <c r="E1859" s="2" t="s">
        <v>170</v>
      </c>
    </row>
    <row r="1860" customFormat="false" ht="15" hidden="false" customHeight="false" outlineLevel="0" collapsed="false">
      <c r="A1860" s="2" t="s">
        <v>272</v>
      </c>
      <c r="B1860" s="2" t="s">
        <v>705</v>
      </c>
      <c r="C1860" s="2" t="s">
        <v>639</v>
      </c>
      <c r="D1860" s="2" t="s">
        <v>598</v>
      </c>
      <c r="E1860" s="2" t="s">
        <v>170</v>
      </c>
    </row>
    <row r="1861" customFormat="false" ht="15" hidden="false" customHeight="false" outlineLevel="0" collapsed="false">
      <c r="A1861" s="2" t="s">
        <v>272</v>
      </c>
      <c r="B1861" s="2" t="s">
        <v>711</v>
      </c>
      <c r="C1861" s="2" t="s">
        <v>644</v>
      </c>
      <c r="D1861" s="2" t="s">
        <v>604</v>
      </c>
      <c r="E1861" s="2" t="s">
        <v>170</v>
      </c>
    </row>
    <row r="1862" customFormat="false" ht="15" hidden="false" customHeight="false" outlineLevel="0" collapsed="false">
      <c r="A1862" s="2" t="s">
        <v>272</v>
      </c>
      <c r="B1862" s="2" t="s">
        <v>688</v>
      </c>
      <c r="C1862" s="2" t="s">
        <v>645</v>
      </c>
      <c r="D1862" s="2" t="s">
        <v>373</v>
      </c>
      <c r="E1862" s="2" t="s">
        <v>170</v>
      </c>
    </row>
    <row r="1863" customFormat="false" ht="15" hidden="false" customHeight="false" outlineLevel="0" collapsed="false">
      <c r="A1863" s="2" t="s">
        <v>272</v>
      </c>
      <c r="B1863" s="2" t="s">
        <v>689</v>
      </c>
      <c r="C1863" s="2" t="s">
        <v>645</v>
      </c>
      <c r="D1863" s="2" t="s">
        <v>690</v>
      </c>
      <c r="E1863" s="2" t="s">
        <v>167</v>
      </c>
    </row>
    <row r="1864" customFormat="false" ht="15" hidden="false" customHeight="false" outlineLevel="0" collapsed="false">
      <c r="A1864" s="2" t="s">
        <v>272</v>
      </c>
      <c r="B1864" s="2" t="s">
        <v>691</v>
      </c>
      <c r="C1864" s="2" t="s">
        <v>645</v>
      </c>
      <c r="D1864" s="2" t="s">
        <v>690</v>
      </c>
      <c r="E1864" s="2" t="s">
        <v>167</v>
      </c>
    </row>
    <row r="1865" customFormat="false" ht="15" hidden="false" customHeight="false" outlineLevel="0" collapsed="false">
      <c r="A1865" s="2" t="s">
        <v>273</v>
      </c>
      <c r="B1865" s="2" t="s">
        <v>649</v>
      </c>
      <c r="C1865" s="2" t="s">
        <v>635</v>
      </c>
      <c r="D1865" s="2" t="s">
        <v>487</v>
      </c>
      <c r="E1865" s="2" t="s">
        <v>166</v>
      </c>
    </row>
    <row r="1866" customFormat="false" ht="15" hidden="false" customHeight="false" outlineLevel="0" collapsed="false">
      <c r="A1866" s="2" t="s">
        <v>273</v>
      </c>
      <c r="B1866" s="2" t="s">
        <v>650</v>
      </c>
      <c r="C1866" s="2" t="s">
        <v>635</v>
      </c>
      <c r="D1866" s="2" t="s">
        <v>651</v>
      </c>
      <c r="E1866" s="2" t="s">
        <v>169</v>
      </c>
    </row>
    <row r="1867" customFormat="false" ht="15" hidden="false" customHeight="false" outlineLevel="0" collapsed="false">
      <c r="A1867" s="2" t="s">
        <v>273</v>
      </c>
      <c r="B1867" s="2" t="s">
        <v>652</v>
      </c>
      <c r="C1867" s="2" t="s">
        <v>635</v>
      </c>
      <c r="D1867" s="2" t="s">
        <v>653</v>
      </c>
      <c r="E1867" s="2" t="s">
        <v>169</v>
      </c>
    </row>
    <row r="1868" customFormat="false" ht="15" hidden="false" customHeight="false" outlineLevel="0" collapsed="false">
      <c r="A1868" s="2" t="s">
        <v>273</v>
      </c>
      <c r="B1868" s="2" t="s">
        <v>654</v>
      </c>
      <c r="C1868" s="2" t="s">
        <v>635</v>
      </c>
      <c r="D1868" s="2" t="s">
        <v>655</v>
      </c>
      <c r="E1868" s="2" t="s">
        <v>169</v>
      </c>
    </row>
    <row r="1869" customFormat="false" ht="15" hidden="false" customHeight="false" outlineLevel="0" collapsed="false">
      <c r="A1869" s="2" t="s">
        <v>273</v>
      </c>
      <c r="B1869" s="2" t="s">
        <v>656</v>
      </c>
      <c r="C1869" s="2" t="s">
        <v>642</v>
      </c>
      <c r="D1869" s="2" t="s">
        <v>487</v>
      </c>
      <c r="E1869" s="2" t="s">
        <v>166</v>
      </c>
    </row>
    <row r="1870" customFormat="false" ht="15" hidden="false" customHeight="false" outlineLevel="0" collapsed="false">
      <c r="A1870" s="2" t="s">
        <v>273</v>
      </c>
      <c r="B1870" s="2" t="s">
        <v>320</v>
      </c>
      <c r="C1870" s="2" t="s">
        <v>642</v>
      </c>
      <c r="D1870" s="2" t="s">
        <v>657</v>
      </c>
      <c r="E1870" s="2" t="s">
        <v>169</v>
      </c>
    </row>
    <row r="1871" customFormat="false" ht="15" hidden="false" customHeight="false" outlineLevel="0" collapsed="false">
      <c r="A1871" s="2" t="s">
        <v>273</v>
      </c>
      <c r="B1871" s="2" t="s">
        <v>658</v>
      </c>
      <c r="C1871" s="2" t="s">
        <v>642</v>
      </c>
      <c r="D1871" s="2" t="s">
        <v>487</v>
      </c>
      <c r="E1871" s="2" t="s">
        <v>166</v>
      </c>
    </row>
    <row r="1872" customFormat="false" ht="15" hidden="false" customHeight="false" outlineLevel="0" collapsed="false">
      <c r="A1872" s="2" t="s">
        <v>273</v>
      </c>
      <c r="B1872" s="2" t="s">
        <v>324</v>
      </c>
      <c r="C1872" s="2" t="s">
        <v>642</v>
      </c>
      <c r="D1872" s="2" t="s">
        <v>610</v>
      </c>
      <c r="E1872" s="2" t="s">
        <v>166</v>
      </c>
    </row>
    <row r="1873" customFormat="false" ht="15" hidden="false" customHeight="false" outlineLevel="0" collapsed="false">
      <c r="A1873" s="2" t="s">
        <v>273</v>
      </c>
      <c r="B1873" s="2" t="s">
        <v>660</v>
      </c>
      <c r="C1873" s="2" t="s">
        <v>640</v>
      </c>
      <c r="D1873" s="2" t="s">
        <v>355</v>
      </c>
      <c r="E1873" s="2" t="s">
        <v>166</v>
      </c>
    </row>
    <row r="1874" customFormat="false" ht="15" hidden="false" customHeight="false" outlineLevel="0" collapsed="false">
      <c r="A1874" s="2" t="s">
        <v>273</v>
      </c>
      <c r="B1874" s="2" t="s">
        <v>661</v>
      </c>
      <c r="C1874" s="2" t="s">
        <v>641</v>
      </c>
      <c r="D1874" s="2" t="s">
        <v>355</v>
      </c>
      <c r="E1874" s="2" t="s">
        <v>166</v>
      </c>
    </row>
    <row r="1875" customFormat="false" ht="15" hidden="false" customHeight="false" outlineLevel="0" collapsed="false">
      <c r="A1875" s="2" t="s">
        <v>273</v>
      </c>
      <c r="B1875" s="2" t="s">
        <v>707</v>
      </c>
      <c r="C1875" s="2" t="s">
        <v>637</v>
      </c>
      <c r="D1875" s="2" t="s">
        <v>505</v>
      </c>
      <c r="E1875" s="2" t="s">
        <v>166</v>
      </c>
    </row>
    <row r="1876" customFormat="false" ht="15" hidden="false" customHeight="false" outlineLevel="0" collapsed="false">
      <c r="A1876" s="2" t="s">
        <v>273</v>
      </c>
      <c r="B1876" s="2" t="s">
        <v>716</v>
      </c>
      <c r="C1876" s="2" t="s">
        <v>512</v>
      </c>
      <c r="D1876" s="2" t="s">
        <v>510</v>
      </c>
      <c r="E1876" s="2" t="s">
        <v>166</v>
      </c>
    </row>
    <row r="1877" customFormat="false" ht="15" hidden="false" customHeight="false" outlineLevel="0" collapsed="false">
      <c r="A1877" s="2" t="s">
        <v>273</v>
      </c>
      <c r="B1877" s="2" t="s">
        <v>662</v>
      </c>
      <c r="C1877" s="2" t="s">
        <v>630</v>
      </c>
      <c r="D1877" s="2" t="s">
        <v>585</v>
      </c>
      <c r="E1877" s="2" t="s">
        <v>167</v>
      </c>
    </row>
    <row r="1878" customFormat="false" ht="15" hidden="false" customHeight="false" outlineLevel="0" collapsed="false">
      <c r="A1878" s="2" t="s">
        <v>273</v>
      </c>
      <c r="B1878" s="2" t="s">
        <v>667</v>
      </c>
      <c r="C1878" s="2" t="s">
        <v>638</v>
      </c>
      <c r="D1878" s="2" t="s">
        <v>668</v>
      </c>
      <c r="E1878" s="2" t="s">
        <v>166</v>
      </c>
    </row>
    <row r="1879" customFormat="false" ht="15" hidden="false" customHeight="false" outlineLevel="0" collapsed="false">
      <c r="A1879" s="2" t="s">
        <v>273</v>
      </c>
      <c r="B1879" s="2" t="s">
        <v>669</v>
      </c>
      <c r="C1879" s="2" t="s">
        <v>636</v>
      </c>
      <c r="D1879" s="2" t="s">
        <v>670</v>
      </c>
      <c r="E1879" s="2" t="s">
        <v>166</v>
      </c>
    </row>
    <row r="1880" customFormat="false" ht="15" hidden="false" customHeight="false" outlineLevel="0" collapsed="false">
      <c r="A1880" s="2" t="s">
        <v>273</v>
      </c>
      <c r="B1880" s="2" t="s">
        <v>671</v>
      </c>
      <c r="C1880" s="2" t="s">
        <v>632</v>
      </c>
      <c r="D1880" s="2" t="s">
        <v>672</v>
      </c>
      <c r="E1880" s="2" t="s">
        <v>166</v>
      </c>
    </row>
    <row r="1881" customFormat="false" ht="15" hidden="false" customHeight="false" outlineLevel="0" collapsed="false">
      <c r="A1881" s="2" t="s">
        <v>273</v>
      </c>
      <c r="B1881" s="2" t="s">
        <v>692</v>
      </c>
      <c r="C1881" s="2" t="s">
        <v>632</v>
      </c>
      <c r="D1881" s="2" t="s">
        <v>523</v>
      </c>
      <c r="E1881" s="2" t="s">
        <v>168</v>
      </c>
    </row>
    <row r="1882" customFormat="false" ht="15" hidden="false" customHeight="false" outlineLevel="0" collapsed="false">
      <c r="A1882" s="2" t="s">
        <v>273</v>
      </c>
      <c r="B1882" s="2" t="s">
        <v>675</v>
      </c>
      <c r="C1882" s="2" t="s">
        <v>632</v>
      </c>
      <c r="D1882" s="2" t="s">
        <v>523</v>
      </c>
      <c r="E1882" s="2" t="s">
        <v>168</v>
      </c>
    </row>
    <row r="1883" customFormat="false" ht="15" hidden="false" customHeight="false" outlineLevel="0" collapsed="false">
      <c r="A1883" s="2" t="s">
        <v>273</v>
      </c>
      <c r="B1883" s="2" t="s">
        <v>412</v>
      </c>
      <c r="C1883" s="2" t="s">
        <v>632</v>
      </c>
      <c r="D1883" s="2" t="s">
        <v>523</v>
      </c>
      <c r="E1883" s="2" t="s">
        <v>168</v>
      </c>
    </row>
    <row r="1884" customFormat="false" ht="15" hidden="false" customHeight="false" outlineLevel="0" collapsed="false">
      <c r="A1884" s="2" t="s">
        <v>273</v>
      </c>
      <c r="B1884" s="2" t="s">
        <v>693</v>
      </c>
      <c r="C1884" s="2" t="s">
        <v>632</v>
      </c>
      <c r="D1884" s="2" t="s">
        <v>523</v>
      </c>
      <c r="E1884" s="2" t="s">
        <v>170</v>
      </c>
    </row>
    <row r="1885" customFormat="false" ht="15" hidden="false" customHeight="false" outlineLevel="0" collapsed="false">
      <c r="A1885" s="2" t="s">
        <v>273</v>
      </c>
      <c r="B1885" s="2" t="s">
        <v>694</v>
      </c>
      <c r="C1885" s="2" t="s">
        <v>633</v>
      </c>
      <c r="D1885" s="2" t="s">
        <v>677</v>
      </c>
      <c r="E1885" s="2" t="s">
        <v>166</v>
      </c>
    </row>
    <row r="1886" customFormat="false" ht="15" hidden="false" customHeight="false" outlineLevel="0" collapsed="false">
      <c r="A1886" s="2" t="s">
        <v>273</v>
      </c>
      <c r="B1886" s="2" t="s">
        <v>678</v>
      </c>
      <c r="C1886" s="2" t="s">
        <v>634</v>
      </c>
      <c r="D1886" s="2" t="s">
        <v>679</v>
      </c>
      <c r="E1886" s="2" t="s">
        <v>166</v>
      </c>
    </row>
    <row r="1887" customFormat="false" ht="15" hidden="false" customHeight="false" outlineLevel="0" collapsed="false">
      <c r="A1887" s="2" t="s">
        <v>273</v>
      </c>
      <c r="B1887" s="2" t="s">
        <v>680</v>
      </c>
      <c r="C1887" s="2" t="s">
        <v>629</v>
      </c>
      <c r="D1887" s="2" t="s">
        <v>703</v>
      </c>
      <c r="E1887" s="2" t="s">
        <v>166</v>
      </c>
    </row>
    <row r="1888" customFormat="false" ht="15" hidden="false" customHeight="false" outlineLevel="0" collapsed="false">
      <c r="A1888" s="2" t="s">
        <v>273</v>
      </c>
      <c r="B1888" s="2" t="s">
        <v>370</v>
      </c>
      <c r="C1888" s="2" t="s">
        <v>627</v>
      </c>
      <c r="D1888" s="2" t="s">
        <v>682</v>
      </c>
      <c r="E1888" s="2" t="s">
        <v>166</v>
      </c>
    </row>
    <row r="1889" customFormat="false" ht="15" hidden="false" customHeight="false" outlineLevel="0" collapsed="false">
      <c r="A1889" s="2" t="s">
        <v>273</v>
      </c>
      <c r="B1889" s="2" t="s">
        <v>696</v>
      </c>
      <c r="C1889" s="2" t="s">
        <v>627</v>
      </c>
      <c r="D1889" s="2" t="s">
        <v>402</v>
      </c>
      <c r="E1889" s="2" t="s">
        <v>168</v>
      </c>
    </row>
    <row r="1890" customFormat="false" ht="15" hidden="false" customHeight="false" outlineLevel="0" collapsed="false">
      <c r="A1890" s="2" t="s">
        <v>273</v>
      </c>
      <c r="B1890" s="2" t="s">
        <v>697</v>
      </c>
      <c r="C1890" s="2" t="s">
        <v>627</v>
      </c>
      <c r="D1890" s="2" t="s">
        <v>402</v>
      </c>
      <c r="E1890" s="2" t="s">
        <v>168</v>
      </c>
    </row>
    <row r="1891" customFormat="false" ht="15" hidden="false" customHeight="false" outlineLevel="0" collapsed="false">
      <c r="A1891" s="2" t="s">
        <v>273</v>
      </c>
      <c r="B1891" s="2" t="s">
        <v>683</v>
      </c>
      <c r="C1891" s="2" t="s">
        <v>627</v>
      </c>
      <c r="D1891" s="2" t="s">
        <v>402</v>
      </c>
      <c r="E1891" s="2" t="s">
        <v>168</v>
      </c>
    </row>
    <row r="1892" customFormat="false" ht="15" hidden="false" customHeight="false" outlineLevel="0" collapsed="false">
      <c r="A1892" s="2" t="s">
        <v>273</v>
      </c>
      <c r="B1892" s="2" t="s">
        <v>684</v>
      </c>
      <c r="C1892" s="2" t="s">
        <v>627</v>
      </c>
      <c r="D1892" s="2" t="s">
        <v>402</v>
      </c>
      <c r="E1892" s="2" t="s">
        <v>168</v>
      </c>
    </row>
    <row r="1893" customFormat="false" ht="15" hidden="false" customHeight="false" outlineLevel="0" collapsed="false">
      <c r="A1893" s="2" t="s">
        <v>273</v>
      </c>
      <c r="B1893" s="2" t="s">
        <v>410</v>
      </c>
      <c r="C1893" s="2" t="s">
        <v>627</v>
      </c>
      <c r="D1893" s="2" t="s">
        <v>402</v>
      </c>
      <c r="E1893" s="2" t="s">
        <v>168</v>
      </c>
    </row>
    <row r="1894" customFormat="false" ht="15" hidden="false" customHeight="false" outlineLevel="0" collapsed="false">
      <c r="A1894" s="2" t="s">
        <v>273</v>
      </c>
      <c r="B1894" s="2" t="s">
        <v>686</v>
      </c>
      <c r="C1894" s="2" t="s">
        <v>628</v>
      </c>
      <c r="D1894" s="2" t="s">
        <v>687</v>
      </c>
      <c r="E1894" s="2" t="s">
        <v>166</v>
      </c>
    </row>
    <row r="1895" customFormat="false" ht="15" hidden="false" customHeight="false" outlineLevel="0" collapsed="false">
      <c r="A1895" s="2" t="s">
        <v>273</v>
      </c>
      <c r="B1895" s="2" t="s">
        <v>688</v>
      </c>
      <c r="C1895" s="2" t="s">
        <v>645</v>
      </c>
      <c r="D1895" s="2" t="s">
        <v>373</v>
      </c>
      <c r="E1895" s="2" t="s">
        <v>170</v>
      </c>
    </row>
    <row r="1896" customFormat="false" ht="15" hidden="false" customHeight="false" outlineLevel="0" collapsed="false">
      <c r="A1896" s="2" t="s">
        <v>274</v>
      </c>
      <c r="B1896" s="2" t="s">
        <v>649</v>
      </c>
      <c r="C1896" s="2" t="s">
        <v>635</v>
      </c>
      <c r="D1896" s="2" t="s">
        <v>487</v>
      </c>
      <c r="E1896" s="2" t="s">
        <v>166</v>
      </c>
    </row>
    <row r="1897" customFormat="false" ht="15" hidden="false" customHeight="false" outlineLevel="0" collapsed="false">
      <c r="A1897" s="2" t="s">
        <v>274</v>
      </c>
      <c r="B1897" s="2" t="s">
        <v>650</v>
      </c>
      <c r="C1897" s="2" t="s">
        <v>635</v>
      </c>
      <c r="D1897" s="2" t="s">
        <v>651</v>
      </c>
      <c r="E1897" s="2" t="s">
        <v>169</v>
      </c>
    </row>
    <row r="1898" customFormat="false" ht="15" hidden="false" customHeight="false" outlineLevel="0" collapsed="false">
      <c r="A1898" s="2" t="s">
        <v>274</v>
      </c>
      <c r="B1898" s="2" t="s">
        <v>652</v>
      </c>
      <c r="C1898" s="2" t="s">
        <v>635</v>
      </c>
      <c r="D1898" s="2" t="s">
        <v>653</v>
      </c>
      <c r="E1898" s="2" t="s">
        <v>169</v>
      </c>
    </row>
    <row r="1899" customFormat="false" ht="15" hidden="false" customHeight="false" outlineLevel="0" collapsed="false">
      <c r="A1899" s="2" t="s">
        <v>274</v>
      </c>
      <c r="B1899" s="2" t="s">
        <v>654</v>
      </c>
      <c r="C1899" s="2" t="s">
        <v>635</v>
      </c>
      <c r="D1899" s="2" t="s">
        <v>655</v>
      </c>
      <c r="E1899" s="2" t="s">
        <v>169</v>
      </c>
    </row>
    <row r="1900" customFormat="false" ht="15" hidden="false" customHeight="false" outlineLevel="0" collapsed="false">
      <c r="A1900" s="2" t="s">
        <v>274</v>
      </c>
      <c r="B1900" s="2" t="s">
        <v>656</v>
      </c>
      <c r="C1900" s="2" t="s">
        <v>642</v>
      </c>
      <c r="D1900" s="2" t="s">
        <v>487</v>
      </c>
      <c r="E1900" s="2" t="s">
        <v>166</v>
      </c>
    </row>
    <row r="1901" customFormat="false" ht="15" hidden="false" customHeight="false" outlineLevel="0" collapsed="false">
      <c r="A1901" s="2" t="s">
        <v>274</v>
      </c>
      <c r="B1901" s="2" t="s">
        <v>320</v>
      </c>
      <c r="C1901" s="2" t="s">
        <v>642</v>
      </c>
      <c r="D1901" s="2" t="s">
        <v>657</v>
      </c>
      <c r="E1901" s="2" t="s">
        <v>169</v>
      </c>
    </row>
    <row r="1902" customFormat="false" ht="15" hidden="false" customHeight="false" outlineLevel="0" collapsed="false">
      <c r="A1902" s="2" t="s">
        <v>274</v>
      </c>
      <c r="B1902" s="2" t="s">
        <v>658</v>
      </c>
      <c r="C1902" s="2" t="s">
        <v>642</v>
      </c>
      <c r="D1902" s="2" t="s">
        <v>487</v>
      </c>
      <c r="E1902" s="2" t="s">
        <v>166</v>
      </c>
    </row>
    <row r="1903" customFormat="false" ht="15" hidden="false" customHeight="false" outlineLevel="0" collapsed="false">
      <c r="A1903" s="2" t="s">
        <v>274</v>
      </c>
      <c r="B1903" s="2" t="s">
        <v>324</v>
      </c>
      <c r="C1903" s="2" t="s">
        <v>642</v>
      </c>
      <c r="D1903" s="2" t="s">
        <v>659</v>
      </c>
      <c r="E1903" s="2" t="s">
        <v>169</v>
      </c>
    </row>
    <row r="1904" customFormat="false" ht="15" hidden="false" customHeight="false" outlineLevel="0" collapsed="false">
      <c r="A1904" s="2" t="s">
        <v>274</v>
      </c>
      <c r="B1904" s="2" t="s">
        <v>704</v>
      </c>
      <c r="C1904" s="2" t="s">
        <v>643</v>
      </c>
      <c r="D1904" s="2" t="s">
        <v>494</v>
      </c>
      <c r="E1904" s="2" t="s">
        <v>167</v>
      </c>
    </row>
    <row r="1905" customFormat="false" ht="15" hidden="false" customHeight="false" outlineLevel="0" collapsed="false">
      <c r="A1905" s="2" t="s">
        <v>274</v>
      </c>
      <c r="B1905" s="2" t="s">
        <v>660</v>
      </c>
      <c r="C1905" s="2" t="s">
        <v>640</v>
      </c>
      <c r="D1905" s="2" t="s">
        <v>355</v>
      </c>
      <c r="E1905" s="2" t="s">
        <v>166</v>
      </c>
    </row>
    <row r="1906" customFormat="false" ht="15" hidden="false" customHeight="false" outlineLevel="0" collapsed="false">
      <c r="A1906" s="2" t="s">
        <v>274</v>
      </c>
      <c r="B1906" s="2" t="s">
        <v>661</v>
      </c>
      <c r="C1906" s="2" t="s">
        <v>641</v>
      </c>
      <c r="D1906" s="2" t="s">
        <v>355</v>
      </c>
      <c r="E1906" s="2" t="s">
        <v>166</v>
      </c>
    </row>
    <row r="1907" customFormat="false" ht="15" hidden="false" customHeight="false" outlineLevel="0" collapsed="false">
      <c r="A1907" s="2" t="s">
        <v>274</v>
      </c>
      <c r="B1907" s="2" t="s">
        <v>662</v>
      </c>
      <c r="C1907" s="2" t="s">
        <v>630</v>
      </c>
      <c r="D1907" s="2" t="s">
        <v>585</v>
      </c>
      <c r="E1907" s="2" t="s">
        <v>167</v>
      </c>
    </row>
    <row r="1908" customFormat="false" ht="15" hidden="false" customHeight="false" outlineLevel="0" collapsed="false">
      <c r="A1908" s="2" t="s">
        <v>274</v>
      </c>
      <c r="B1908" s="2" t="s">
        <v>667</v>
      </c>
      <c r="C1908" s="2" t="s">
        <v>638</v>
      </c>
      <c r="D1908" s="2" t="s">
        <v>668</v>
      </c>
      <c r="E1908" s="2" t="s">
        <v>166</v>
      </c>
    </row>
    <row r="1909" customFormat="false" ht="15" hidden="false" customHeight="false" outlineLevel="0" collapsed="false">
      <c r="A1909" s="2" t="s">
        <v>274</v>
      </c>
      <c r="B1909" s="2" t="s">
        <v>669</v>
      </c>
      <c r="C1909" s="2" t="s">
        <v>636</v>
      </c>
      <c r="D1909" s="2" t="s">
        <v>670</v>
      </c>
      <c r="E1909" s="2" t="s">
        <v>166</v>
      </c>
    </row>
    <row r="1910" customFormat="false" ht="15" hidden="false" customHeight="false" outlineLevel="0" collapsed="false">
      <c r="A1910" s="2" t="s">
        <v>274</v>
      </c>
      <c r="B1910" s="2" t="s">
        <v>671</v>
      </c>
      <c r="C1910" s="2" t="s">
        <v>632</v>
      </c>
      <c r="D1910" s="2" t="s">
        <v>672</v>
      </c>
      <c r="E1910" s="2" t="s">
        <v>166</v>
      </c>
    </row>
    <row r="1911" customFormat="false" ht="15" hidden="false" customHeight="false" outlineLevel="0" collapsed="false">
      <c r="A1911" s="2" t="s">
        <v>274</v>
      </c>
      <c r="B1911" s="2" t="s">
        <v>673</v>
      </c>
      <c r="C1911" s="2" t="s">
        <v>632</v>
      </c>
      <c r="D1911" s="2" t="s">
        <v>523</v>
      </c>
      <c r="E1911" s="2" t="s">
        <v>168</v>
      </c>
    </row>
    <row r="1912" customFormat="false" ht="15" hidden="false" customHeight="false" outlineLevel="0" collapsed="false">
      <c r="A1912" s="2" t="s">
        <v>274</v>
      </c>
      <c r="B1912" s="2" t="s">
        <v>674</v>
      </c>
      <c r="C1912" s="2" t="s">
        <v>632</v>
      </c>
      <c r="D1912" s="2" t="s">
        <v>523</v>
      </c>
      <c r="E1912" s="2" t="s">
        <v>168</v>
      </c>
    </row>
    <row r="1913" customFormat="false" ht="15" hidden="false" customHeight="false" outlineLevel="0" collapsed="false">
      <c r="A1913" s="2" t="s">
        <v>274</v>
      </c>
      <c r="B1913" s="2" t="s">
        <v>692</v>
      </c>
      <c r="C1913" s="2" t="s">
        <v>632</v>
      </c>
      <c r="D1913" s="2" t="s">
        <v>523</v>
      </c>
      <c r="E1913" s="2" t="s">
        <v>168</v>
      </c>
    </row>
    <row r="1914" customFormat="false" ht="15" hidden="false" customHeight="false" outlineLevel="0" collapsed="false">
      <c r="A1914" s="2" t="s">
        <v>274</v>
      </c>
      <c r="B1914" s="2" t="s">
        <v>675</v>
      </c>
      <c r="C1914" s="2" t="s">
        <v>632</v>
      </c>
      <c r="D1914" s="2" t="s">
        <v>523</v>
      </c>
      <c r="E1914" s="2" t="s">
        <v>168</v>
      </c>
    </row>
    <row r="1915" customFormat="false" ht="15" hidden="false" customHeight="false" outlineLevel="0" collapsed="false">
      <c r="A1915" s="2" t="s">
        <v>274</v>
      </c>
      <c r="B1915" s="2" t="s">
        <v>702</v>
      </c>
      <c r="C1915" s="2" t="s">
        <v>632</v>
      </c>
      <c r="D1915" s="2" t="s">
        <v>523</v>
      </c>
      <c r="E1915" s="2" t="s">
        <v>168</v>
      </c>
    </row>
    <row r="1916" customFormat="false" ht="15" hidden="false" customHeight="false" outlineLevel="0" collapsed="false">
      <c r="A1916" s="2" t="s">
        <v>274</v>
      </c>
      <c r="B1916" s="2" t="s">
        <v>412</v>
      </c>
      <c r="C1916" s="2" t="s">
        <v>632</v>
      </c>
      <c r="D1916" s="2" t="s">
        <v>523</v>
      </c>
      <c r="E1916" s="2" t="s">
        <v>168</v>
      </c>
    </row>
    <row r="1917" customFormat="false" ht="15" hidden="false" customHeight="false" outlineLevel="0" collapsed="false">
      <c r="A1917" s="2" t="s">
        <v>274</v>
      </c>
      <c r="B1917" s="2" t="s">
        <v>676</v>
      </c>
      <c r="C1917" s="2" t="s">
        <v>633</v>
      </c>
      <c r="D1917" s="2" t="s">
        <v>677</v>
      </c>
      <c r="E1917" s="2" t="s">
        <v>166</v>
      </c>
    </row>
    <row r="1918" customFormat="false" ht="15" hidden="false" customHeight="false" outlineLevel="0" collapsed="false">
      <c r="A1918" s="2" t="s">
        <v>274</v>
      </c>
      <c r="B1918" s="2" t="s">
        <v>678</v>
      </c>
      <c r="C1918" s="2" t="s">
        <v>634</v>
      </c>
      <c r="D1918" s="2" t="s">
        <v>679</v>
      </c>
      <c r="E1918" s="2" t="s">
        <v>166</v>
      </c>
    </row>
    <row r="1919" customFormat="false" ht="15" hidden="false" customHeight="false" outlineLevel="0" collapsed="false">
      <c r="A1919" s="2" t="s">
        <v>274</v>
      </c>
      <c r="B1919" s="2" t="s">
        <v>680</v>
      </c>
      <c r="C1919" s="2" t="s">
        <v>629</v>
      </c>
      <c r="D1919" s="2" t="s">
        <v>703</v>
      </c>
      <c r="E1919" s="2" t="s">
        <v>166</v>
      </c>
    </row>
    <row r="1920" customFormat="false" ht="15" hidden="false" customHeight="false" outlineLevel="0" collapsed="false">
      <c r="A1920" s="2" t="s">
        <v>274</v>
      </c>
      <c r="B1920" s="2" t="s">
        <v>370</v>
      </c>
      <c r="C1920" s="2" t="s">
        <v>627</v>
      </c>
      <c r="D1920" s="2" t="s">
        <v>717</v>
      </c>
      <c r="E1920" s="2" t="s">
        <v>166</v>
      </c>
    </row>
    <row r="1921" customFormat="false" ht="15" hidden="false" customHeight="false" outlineLevel="0" collapsed="false">
      <c r="A1921" s="2" t="s">
        <v>274</v>
      </c>
      <c r="B1921" s="2" t="s">
        <v>684</v>
      </c>
      <c r="C1921" s="2" t="s">
        <v>627</v>
      </c>
      <c r="D1921" s="2" t="s">
        <v>718</v>
      </c>
      <c r="E1921" s="2" t="s">
        <v>166</v>
      </c>
    </row>
    <row r="1922" customFormat="false" ht="15" hidden="false" customHeight="false" outlineLevel="0" collapsed="false">
      <c r="A1922" s="2" t="s">
        <v>274</v>
      </c>
      <c r="B1922" s="2" t="s">
        <v>410</v>
      </c>
      <c r="C1922" s="2" t="s">
        <v>627</v>
      </c>
      <c r="D1922" s="2" t="s">
        <v>718</v>
      </c>
      <c r="E1922" s="2" t="s">
        <v>166</v>
      </c>
    </row>
    <row r="1923" customFormat="false" ht="15" hidden="false" customHeight="false" outlineLevel="0" collapsed="false">
      <c r="A1923" s="2" t="s">
        <v>274</v>
      </c>
      <c r="B1923" s="2" t="s">
        <v>685</v>
      </c>
      <c r="C1923" s="2" t="s">
        <v>627</v>
      </c>
      <c r="D1923" s="2" t="s">
        <v>718</v>
      </c>
      <c r="E1923" s="2" t="s">
        <v>170</v>
      </c>
    </row>
    <row r="1924" customFormat="false" ht="15" hidden="false" customHeight="false" outlineLevel="0" collapsed="false">
      <c r="A1924" s="2" t="s">
        <v>274</v>
      </c>
      <c r="B1924" s="2" t="s">
        <v>708</v>
      </c>
      <c r="C1924" s="2" t="s">
        <v>628</v>
      </c>
      <c r="D1924" s="2" t="s">
        <v>719</v>
      </c>
      <c r="E1924" s="2" t="s">
        <v>166</v>
      </c>
    </row>
    <row r="1925" customFormat="false" ht="15" hidden="false" customHeight="false" outlineLevel="0" collapsed="false">
      <c r="A1925" s="2" t="s">
        <v>274</v>
      </c>
      <c r="B1925" s="2" t="s">
        <v>688</v>
      </c>
      <c r="C1925" s="2" t="s">
        <v>645</v>
      </c>
      <c r="D1925" s="2" t="s">
        <v>373</v>
      </c>
      <c r="E1925" s="2" t="s">
        <v>170</v>
      </c>
    </row>
    <row r="1926" customFormat="false" ht="15" hidden="false" customHeight="false" outlineLevel="0" collapsed="false">
      <c r="A1926" s="2" t="s">
        <v>275</v>
      </c>
      <c r="B1926" s="2" t="s">
        <v>649</v>
      </c>
      <c r="C1926" s="2" t="s">
        <v>635</v>
      </c>
      <c r="D1926" s="2" t="s">
        <v>487</v>
      </c>
      <c r="E1926" s="2" t="s">
        <v>166</v>
      </c>
    </row>
    <row r="1927" customFormat="false" ht="15" hidden="false" customHeight="false" outlineLevel="0" collapsed="false">
      <c r="A1927" s="2" t="s">
        <v>275</v>
      </c>
      <c r="B1927" s="2" t="s">
        <v>650</v>
      </c>
      <c r="C1927" s="2" t="s">
        <v>635</v>
      </c>
      <c r="D1927" s="2" t="s">
        <v>651</v>
      </c>
      <c r="E1927" s="2" t="s">
        <v>169</v>
      </c>
    </row>
    <row r="1928" customFormat="false" ht="15" hidden="false" customHeight="false" outlineLevel="0" collapsed="false">
      <c r="A1928" s="2" t="s">
        <v>275</v>
      </c>
      <c r="B1928" s="2" t="s">
        <v>652</v>
      </c>
      <c r="C1928" s="2" t="s">
        <v>635</v>
      </c>
      <c r="D1928" s="2" t="s">
        <v>653</v>
      </c>
      <c r="E1928" s="2" t="s">
        <v>169</v>
      </c>
    </row>
    <row r="1929" customFormat="false" ht="15" hidden="false" customHeight="false" outlineLevel="0" collapsed="false">
      <c r="A1929" s="2" t="s">
        <v>275</v>
      </c>
      <c r="B1929" s="2" t="s">
        <v>654</v>
      </c>
      <c r="C1929" s="2" t="s">
        <v>635</v>
      </c>
      <c r="D1929" s="2" t="s">
        <v>655</v>
      </c>
      <c r="E1929" s="2" t="s">
        <v>169</v>
      </c>
    </row>
    <row r="1930" customFormat="false" ht="15" hidden="false" customHeight="false" outlineLevel="0" collapsed="false">
      <c r="A1930" s="2" t="s">
        <v>275</v>
      </c>
      <c r="B1930" s="2" t="s">
        <v>656</v>
      </c>
      <c r="C1930" s="2" t="s">
        <v>642</v>
      </c>
      <c r="D1930" s="2" t="s">
        <v>487</v>
      </c>
      <c r="E1930" s="2" t="s">
        <v>166</v>
      </c>
    </row>
    <row r="1931" customFormat="false" ht="15" hidden="false" customHeight="false" outlineLevel="0" collapsed="false">
      <c r="A1931" s="2" t="s">
        <v>275</v>
      </c>
      <c r="B1931" s="2" t="s">
        <v>320</v>
      </c>
      <c r="C1931" s="2" t="s">
        <v>642</v>
      </c>
      <c r="D1931" s="2" t="s">
        <v>657</v>
      </c>
      <c r="E1931" s="2" t="s">
        <v>169</v>
      </c>
    </row>
    <row r="1932" customFormat="false" ht="15" hidden="false" customHeight="false" outlineLevel="0" collapsed="false">
      <c r="A1932" s="2" t="s">
        <v>275</v>
      </c>
      <c r="B1932" s="2" t="s">
        <v>658</v>
      </c>
      <c r="C1932" s="2" t="s">
        <v>642</v>
      </c>
      <c r="D1932" s="2" t="s">
        <v>487</v>
      </c>
      <c r="E1932" s="2" t="s">
        <v>166</v>
      </c>
    </row>
    <row r="1933" customFormat="false" ht="15" hidden="false" customHeight="false" outlineLevel="0" collapsed="false">
      <c r="A1933" s="2" t="s">
        <v>275</v>
      </c>
      <c r="B1933" s="2" t="s">
        <v>324</v>
      </c>
      <c r="C1933" s="2" t="s">
        <v>642</v>
      </c>
      <c r="D1933" s="2" t="s">
        <v>610</v>
      </c>
      <c r="E1933" s="2" t="s">
        <v>166</v>
      </c>
    </row>
    <row r="1934" customFormat="false" ht="15" hidden="false" customHeight="false" outlineLevel="0" collapsed="false">
      <c r="A1934" s="2" t="s">
        <v>275</v>
      </c>
      <c r="B1934" s="2" t="s">
        <v>660</v>
      </c>
      <c r="C1934" s="2" t="s">
        <v>640</v>
      </c>
      <c r="D1934" s="2" t="s">
        <v>355</v>
      </c>
      <c r="E1934" s="2" t="s">
        <v>166</v>
      </c>
    </row>
    <row r="1935" customFormat="false" ht="15" hidden="false" customHeight="false" outlineLevel="0" collapsed="false">
      <c r="A1935" s="2" t="s">
        <v>275</v>
      </c>
      <c r="B1935" s="2" t="s">
        <v>661</v>
      </c>
      <c r="C1935" s="2" t="s">
        <v>641</v>
      </c>
      <c r="D1935" s="2" t="s">
        <v>355</v>
      </c>
      <c r="E1935" s="2" t="s">
        <v>166</v>
      </c>
    </row>
    <row r="1936" customFormat="false" ht="15" hidden="false" customHeight="false" outlineLevel="0" collapsed="false">
      <c r="A1936" s="2" t="s">
        <v>275</v>
      </c>
      <c r="B1936" s="2" t="s">
        <v>662</v>
      </c>
      <c r="C1936" s="2" t="s">
        <v>630</v>
      </c>
      <c r="D1936" s="2" t="s">
        <v>585</v>
      </c>
      <c r="E1936" s="2" t="s">
        <v>167</v>
      </c>
    </row>
    <row r="1937" customFormat="false" ht="15" hidden="false" customHeight="false" outlineLevel="0" collapsed="false">
      <c r="A1937" s="2" t="s">
        <v>275</v>
      </c>
      <c r="B1937" s="2" t="s">
        <v>667</v>
      </c>
      <c r="C1937" s="2" t="s">
        <v>638</v>
      </c>
      <c r="D1937" s="2" t="s">
        <v>668</v>
      </c>
      <c r="E1937" s="2" t="s">
        <v>166</v>
      </c>
    </row>
    <row r="1938" customFormat="false" ht="15" hidden="false" customHeight="false" outlineLevel="0" collapsed="false">
      <c r="A1938" s="2" t="s">
        <v>275</v>
      </c>
      <c r="B1938" s="2" t="s">
        <v>669</v>
      </c>
      <c r="C1938" s="2" t="s">
        <v>636</v>
      </c>
      <c r="D1938" s="2" t="s">
        <v>670</v>
      </c>
      <c r="E1938" s="2" t="s">
        <v>166</v>
      </c>
    </row>
    <row r="1939" customFormat="false" ht="15" hidden="false" customHeight="false" outlineLevel="0" collapsed="false">
      <c r="A1939" s="2" t="s">
        <v>275</v>
      </c>
      <c r="B1939" s="2" t="s">
        <v>671</v>
      </c>
      <c r="C1939" s="2" t="s">
        <v>632</v>
      </c>
      <c r="D1939" s="2" t="s">
        <v>672</v>
      </c>
      <c r="E1939" s="2" t="s">
        <v>166</v>
      </c>
    </row>
    <row r="1940" customFormat="false" ht="15" hidden="false" customHeight="false" outlineLevel="0" collapsed="false">
      <c r="A1940" s="2" t="s">
        <v>275</v>
      </c>
      <c r="B1940" s="2" t="s">
        <v>675</v>
      </c>
      <c r="C1940" s="2" t="s">
        <v>632</v>
      </c>
      <c r="D1940" s="2" t="s">
        <v>523</v>
      </c>
      <c r="E1940" s="2" t="s">
        <v>168</v>
      </c>
    </row>
    <row r="1941" customFormat="false" ht="15" hidden="false" customHeight="false" outlineLevel="0" collapsed="false">
      <c r="A1941" s="2" t="s">
        <v>275</v>
      </c>
      <c r="B1941" s="2" t="s">
        <v>412</v>
      </c>
      <c r="C1941" s="2" t="s">
        <v>632</v>
      </c>
      <c r="D1941" s="2" t="s">
        <v>523</v>
      </c>
      <c r="E1941" s="2" t="s">
        <v>168</v>
      </c>
    </row>
    <row r="1942" customFormat="false" ht="15" hidden="false" customHeight="false" outlineLevel="0" collapsed="false">
      <c r="A1942" s="2" t="s">
        <v>275</v>
      </c>
      <c r="B1942" s="2" t="s">
        <v>693</v>
      </c>
      <c r="C1942" s="2" t="s">
        <v>632</v>
      </c>
      <c r="D1942" s="2" t="s">
        <v>523</v>
      </c>
      <c r="E1942" s="2" t="s">
        <v>170</v>
      </c>
    </row>
    <row r="1943" customFormat="false" ht="15" hidden="false" customHeight="false" outlineLevel="0" collapsed="false">
      <c r="A1943" s="2" t="s">
        <v>275</v>
      </c>
      <c r="B1943" s="2" t="s">
        <v>694</v>
      </c>
      <c r="C1943" s="2" t="s">
        <v>633</v>
      </c>
      <c r="D1943" s="2" t="s">
        <v>677</v>
      </c>
      <c r="E1943" s="2" t="s">
        <v>166</v>
      </c>
    </row>
    <row r="1944" customFormat="false" ht="15" hidden="false" customHeight="false" outlineLevel="0" collapsed="false">
      <c r="A1944" s="2" t="s">
        <v>275</v>
      </c>
      <c r="B1944" s="2" t="s">
        <v>678</v>
      </c>
      <c r="C1944" s="2" t="s">
        <v>634</v>
      </c>
      <c r="D1944" s="2" t="s">
        <v>679</v>
      </c>
      <c r="E1944" s="2" t="s">
        <v>166</v>
      </c>
    </row>
    <row r="1945" customFormat="false" ht="15" hidden="false" customHeight="false" outlineLevel="0" collapsed="false">
      <c r="A1945" s="2" t="s">
        <v>275</v>
      </c>
      <c r="B1945" s="2" t="s">
        <v>680</v>
      </c>
      <c r="C1945" s="2" t="s">
        <v>629</v>
      </c>
      <c r="D1945" s="2" t="s">
        <v>703</v>
      </c>
      <c r="E1945" s="2" t="s">
        <v>166</v>
      </c>
    </row>
    <row r="1946" customFormat="false" ht="15" hidden="false" customHeight="false" outlineLevel="0" collapsed="false">
      <c r="A1946" s="2" t="s">
        <v>275</v>
      </c>
      <c r="B1946" s="2" t="s">
        <v>370</v>
      </c>
      <c r="C1946" s="2" t="s">
        <v>627</v>
      </c>
      <c r="D1946" s="2" t="s">
        <v>682</v>
      </c>
      <c r="E1946" s="2" t="s">
        <v>166</v>
      </c>
    </row>
    <row r="1947" customFormat="false" ht="15" hidden="false" customHeight="false" outlineLevel="0" collapsed="false">
      <c r="A1947" s="2" t="s">
        <v>275</v>
      </c>
      <c r="B1947" s="2" t="s">
        <v>696</v>
      </c>
      <c r="C1947" s="2" t="s">
        <v>627</v>
      </c>
      <c r="D1947" s="2" t="s">
        <v>402</v>
      </c>
      <c r="E1947" s="2" t="s">
        <v>168</v>
      </c>
    </row>
    <row r="1948" customFormat="false" ht="15" hidden="false" customHeight="false" outlineLevel="0" collapsed="false">
      <c r="A1948" s="2" t="s">
        <v>275</v>
      </c>
      <c r="B1948" s="2" t="s">
        <v>697</v>
      </c>
      <c r="C1948" s="2" t="s">
        <v>627</v>
      </c>
      <c r="D1948" s="2" t="s">
        <v>402</v>
      </c>
      <c r="E1948" s="2" t="s">
        <v>168</v>
      </c>
    </row>
    <row r="1949" customFormat="false" ht="15" hidden="false" customHeight="false" outlineLevel="0" collapsed="false">
      <c r="A1949" s="2" t="s">
        <v>275</v>
      </c>
      <c r="B1949" s="2" t="s">
        <v>683</v>
      </c>
      <c r="C1949" s="2" t="s">
        <v>627</v>
      </c>
      <c r="D1949" s="2" t="s">
        <v>402</v>
      </c>
      <c r="E1949" s="2" t="s">
        <v>168</v>
      </c>
    </row>
    <row r="1950" customFormat="false" ht="15" hidden="false" customHeight="false" outlineLevel="0" collapsed="false">
      <c r="A1950" s="2" t="s">
        <v>275</v>
      </c>
      <c r="B1950" s="2" t="s">
        <v>684</v>
      </c>
      <c r="C1950" s="2" t="s">
        <v>627</v>
      </c>
      <c r="D1950" s="2" t="s">
        <v>402</v>
      </c>
      <c r="E1950" s="2" t="s">
        <v>168</v>
      </c>
    </row>
    <row r="1951" customFormat="false" ht="15" hidden="false" customHeight="false" outlineLevel="0" collapsed="false">
      <c r="A1951" s="2" t="s">
        <v>275</v>
      </c>
      <c r="B1951" s="2" t="s">
        <v>410</v>
      </c>
      <c r="C1951" s="2" t="s">
        <v>627</v>
      </c>
      <c r="D1951" s="2" t="s">
        <v>402</v>
      </c>
      <c r="E1951" s="2" t="s">
        <v>168</v>
      </c>
    </row>
    <row r="1952" customFormat="false" ht="15" hidden="false" customHeight="false" outlineLevel="0" collapsed="false">
      <c r="A1952" s="2" t="s">
        <v>275</v>
      </c>
      <c r="B1952" s="2" t="s">
        <v>686</v>
      </c>
      <c r="C1952" s="2" t="s">
        <v>628</v>
      </c>
      <c r="D1952" s="2" t="s">
        <v>687</v>
      </c>
      <c r="E1952" s="2" t="s">
        <v>166</v>
      </c>
    </row>
    <row r="1953" customFormat="false" ht="15" hidden="false" customHeight="false" outlineLevel="0" collapsed="false">
      <c r="A1953" s="2" t="s">
        <v>275</v>
      </c>
      <c r="B1953" s="2" t="s">
        <v>688</v>
      </c>
      <c r="C1953" s="2" t="s">
        <v>645</v>
      </c>
      <c r="D1953" s="2" t="s">
        <v>373</v>
      </c>
      <c r="E1953" s="2" t="s">
        <v>170</v>
      </c>
    </row>
    <row r="1954" customFormat="false" ht="15" hidden="false" customHeight="false" outlineLevel="0" collapsed="false">
      <c r="A1954" s="2" t="s">
        <v>276</v>
      </c>
      <c r="B1954" s="2" t="s">
        <v>649</v>
      </c>
      <c r="C1954" s="2" t="s">
        <v>635</v>
      </c>
      <c r="D1954" s="2" t="s">
        <v>487</v>
      </c>
      <c r="E1954" s="2" t="s">
        <v>166</v>
      </c>
    </row>
    <row r="1955" customFormat="false" ht="15" hidden="false" customHeight="false" outlineLevel="0" collapsed="false">
      <c r="A1955" s="2" t="s">
        <v>276</v>
      </c>
      <c r="B1955" s="2" t="s">
        <v>650</v>
      </c>
      <c r="C1955" s="2" t="s">
        <v>635</v>
      </c>
      <c r="D1955" s="2" t="s">
        <v>651</v>
      </c>
      <c r="E1955" s="2" t="s">
        <v>169</v>
      </c>
    </row>
    <row r="1956" customFormat="false" ht="15" hidden="false" customHeight="false" outlineLevel="0" collapsed="false">
      <c r="A1956" s="2" t="s">
        <v>276</v>
      </c>
      <c r="B1956" s="2" t="s">
        <v>652</v>
      </c>
      <c r="C1956" s="2" t="s">
        <v>635</v>
      </c>
      <c r="D1956" s="2" t="s">
        <v>653</v>
      </c>
      <c r="E1956" s="2" t="s">
        <v>169</v>
      </c>
    </row>
    <row r="1957" customFormat="false" ht="15" hidden="false" customHeight="false" outlineLevel="0" collapsed="false">
      <c r="A1957" s="2" t="s">
        <v>276</v>
      </c>
      <c r="B1957" s="2" t="s">
        <v>654</v>
      </c>
      <c r="C1957" s="2" t="s">
        <v>635</v>
      </c>
      <c r="D1957" s="2" t="s">
        <v>655</v>
      </c>
      <c r="E1957" s="2" t="s">
        <v>169</v>
      </c>
    </row>
    <row r="1958" customFormat="false" ht="15" hidden="false" customHeight="false" outlineLevel="0" collapsed="false">
      <c r="A1958" s="2" t="s">
        <v>276</v>
      </c>
      <c r="B1958" s="2" t="s">
        <v>656</v>
      </c>
      <c r="C1958" s="2" t="s">
        <v>642</v>
      </c>
      <c r="D1958" s="2" t="s">
        <v>487</v>
      </c>
      <c r="E1958" s="2" t="s">
        <v>166</v>
      </c>
    </row>
    <row r="1959" customFormat="false" ht="15" hidden="false" customHeight="false" outlineLevel="0" collapsed="false">
      <c r="A1959" s="2" t="s">
        <v>276</v>
      </c>
      <c r="B1959" s="2" t="s">
        <v>320</v>
      </c>
      <c r="C1959" s="2" t="s">
        <v>642</v>
      </c>
      <c r="D1959" s="2" t="s">
        <v>657</v>
      </c>
      <c r="E1959" s="2" t="s">
        <v>169</v>
      </c>
    </row>
    <row r="1960" customFormat="false" ht="15" hidden="false" customHeight="false" outlineLevel="0" collapsed="false">
      <c r="A1960" s="2" t="s">
        <v>276</v>
      </c>
      <c r="B1960" s="2" t="s">
        <v>658</v>
      </c>
      <c r="C1960" s="2" t="s">
        <v>642</v>
      </c>
      <c r="D1960" s="2" t="s">
        <v>487</v>
      </c>
      <c r="E1960" s="2" t="s">
        <v>166</v>
      </c>
    </row>
    <row r="1961" customFormat="false" ht="15" hidden="false" customHeight="false" outlineLevel="0" collapsed="false">
      <c r="A1961" s="2" t="s">
        <v>276</v>
      </c>
      <c r="B1961" s="2" t="s">
        <v>324</v>
      </c>
      <c r="C1961" s="2" t="s">
        <v>642</v>
      </c>
      <c r="D1961" s="2" t="s">
        <v>610</v>
      </c>
      <c r="E1961" s="2" t="s">
        <v>166</v>
      </c>
    </row>
    <row r="1962" customFormat="false" ht="15" hidden="false" customHeight="false" outlineLevel="0" collapsed="false">
      <c r="A1962" s="2" t="s">
        <v>276</v>
      </c>
      <c r="B1962" s="2" t="s">
        <v>660</v>
      </c>
      <c r="C1962" s="2" t="s">
        <v>640</v>
      </c>
      <c r="D1962" s="2" t="s">
        <v>355</v>
      </c>
      <c r="E1962" s="2" t="s">
        <v>166</v>
      </c>
    </row>
    <row r="1963" customFormat="false" ht="15" hidden="false" customHeight="false" outlineLevel="0" collapsed="false">
      <c r="A1963" s="2" t="s">
        <v>276</v>
      </c>
      <c r="B1963" s="2" t="s">
        <v>661</v>
      </c>
      <c r="C1963" s="2" t="s">
        <v>641</v>
      </c>
      <c r="D1963" s="2" t="s">
        <v>355</v>
      </c>
      <c r="E1963" s="2" t="s">
        <v>166</v>
      </c>
    </row>
    <row r="1964" customFormat="false" ht="15" hidden="false" customHeight="false" outlineLevel="0" collapsed="false">
      <c r="A1964" s="2" t="s">
        <v>276</v>
      </c>
      <c r="B1964" s="2" t="s">
        <v>662</v>
      </c>
      <c r="C1964" s="2" t="s">
        <v>630</v>
      </c>
      <c r="D1964" s="2" t="s">
        <v>585</v>
      </c>
      <c r="E1964" s="2" t="s">
        <v>167</v>
      </c>
    </row>
    <row r="1965" customFormat="false" ht="15" hidden="false" customHeight="false" outlineLevel="0" collapsed="false">
      <c r="A1965" s="2" t="s">
        <v>276</v>
      </c>
      <c r="B1965" s="2" t="s">
        <v>667</v>
      </c>
      <c r="C1965" s="2" t="s">
        <v>638</v>
      </c>
      <c r="D1965" s="2" t="s">
        <v>668</v>
      </c>
      <c r="E1965" s="2" t="s">
        <v>166</v>
      </c>
    </row>
    <row r="1966" customFormat="false" ht="15" hidden="false" customHeight="false" outlineLevel="0" collapsed="false">
      <c r="A1966" s="2" t="s">
        <v>276</v>
      </c>
      <c r="B1966" s="2" t="s">
        <v>669</v>
      </c>
      <c r="C1966" s="2" t="s">
        <v>636</v>
      </c>
      <c r="D1966" s="2" t="s">
        <v>670</v>
      </c>
      <c r="E1966" s="2" t="s">
        <v>166</v>
      </c>
    </row>
    <row r="1967" customFormat="false" ht="15" hidden="false" customHeight="false" outlineLevel="0" collapsed="false">
      <c r="A1967" s="2" t="s">
        <v>276</v>
      </c>
      <c r="B1967" s="2" t="s">
        <v>671</v>
      </c>
      <c r="C1967" s="2" t="s">
        <v>632</v>
      </c>
      <c r="D1967" s="2" t="s">
        <v>672</v>
      </c>
      <c r="E1967" s="2" t="s">
        <v>166</v>
      </c>
    </row>
    <row r="1968" customFormat="false" ht="15" hidden="false" customHeight="false" outlineLevel="0" collapsed="false">
      <c r="A1968" s="2" t="s">
        <v>276</v>
      </c>
      <c r="B1968" s="2" t="s">
        <v>675</v>
      </c>
      <c r="C1968" s="2" t="s">
        <v>632</v>
      </c>
      <c r="D1968" s="2" t="s">
        <v>523</v>
      </c>
      <c r="E1968" s="2" t="s">
        <v>168</v>
      </c>
    </row>
    <row r="1969" customFormat="false" ht="15" hidden="false" customHeight="false" outlineLevel="0" collapsed="false">
      <c r="A1969" s="2" t="s">
        <v>276</v>
      </c>
      <c r="B1969" s="2" t="s">
        <v>412</v>
      </c>
      <c r="C1969" s="2" t="s">
        <v>632</v>
      </c>
      <c r="D1969" s="2" t="s">
        <v>523</v>
      </c>
      <c r="E1969" s="2" t="s">
        <v>168</v>
      </c>
    </row>
    <row r="1970" customFormat="false" ht="15" hidden="false" customHeight="false" outlineLevel="0" collapsed="false">
      <c r="A1970" s="2" t="s">
        <v>276</v>
      </c>
      <c r="B1970" s="2" t="s">
        <v>693</v>
      </c>
      <c r="C1970" s="2" t="s">
        <v>632</v>
      </c>
      <c r="D1970" s="2" t="s">
        <v>523</v>
      </c>
      <c r="E1970" s="2" t="s">
        <v>170</v>
      </c>
    </row>
    <row r="1971" customFormat="false" ht="15" hidden="false" customHeight="false" outlineLevel="0" collapsed="false">
      <c r="A1971" s="2" t="s">
        <v>276</v>
      </c>
      <c r="B1971" s="2" t="s">
        <v>694</v>
      </c>
      <c r="C1971" s="2" t="s">
        <v>633</v>
      </c>
      <c r="D1971" s="2" t="s">
        <v>677</v>
      </c>
      <c r="E1971" s="2" t="s">
        <v>166</v>
      </c>
    </row>
    <row r="1972" customFormat="false" ht="15" hidden="false" customHeight="false" outlineLevel="0" collapsed="false">
      <c r="A1972" s="2" t="s">
        <v>276</v>
      </c>
      <c r="B1972" s="2" t="s">
        <v>678</v>
      </c>
      <c r="C1972" s="2" t="s">
        <v>634</v>
      </c>
      <c r="D1972" s="2" t="s">
        <v>679</v>
      </c>
      <c r="E1972" s="2" t="s">
        <v>166</v>
      </c>
    </row>
    <row r="1973" customFormat="false" ht="15" hidden="false" customHeight="false" outlineLevel="0" collapsed="false">
      <c r="A1973" s="2" t="s">
        <v>276</v>
      </c>
      <c r="B1973" s="2" t="s">
        <v>680</v>
      </c>
      <c r="C1973" s="2" t="s">
        <v>629</v>
      </c>
      <c r="D1973" s="2" t="s">
        <v>681</v>
      </c>
      <c r="E1973" s="2" t="s">
        <v>169</v>
      </c>
    </row>
    <row r="1974" customFormat="false" ht="15" hidden="false" customHeight="false" outlineLevel="0" collapsed="false">
      <c r="A1974" s="2" t="s">
        <v>276</v>
      </c>
      <c r="B1974" s="2" t="s">
        <v>370</v>
      </c>
      <c r="C1974" s="2" t="s">
        <v>627</v>
      </c>
      <c r="D1974" s="2" t="s">
        <v>682</v>
      </c>
      <c r="E1974" s="2" t="s">
        <v>166</v>
      </c>
    </row>
    <row r="1975" customFormat="false" ht="15" hidden="false" customHeight="false" outlineLevel="0" collapsed="false">
      <c r="A1975" s="2" t="s">
        <v>276</v>
      </c>
      <c r="B1975" s="2" t="s">
        <v>684</v>
      </c>
      <c r="C1975" s="2" t="s">
        <v>627</v>
      </c>
      <c r="D1975" s="2" t="s">
        <v>402</v>
      </c>
      <c r="E1975" s="2" t="s">
        <v>168</v>
      </c>
    </row>
    <row r="1976" customFormat="false" ht="15" hidden="false" customHeight="false" outlineLevel="0" collapsed="false">
      <c r="A1976" s="2" t="s">
        <v>276</v>
      </c>
      <c r="B1976" s="2" t="s">
        <v>410</v>
      </c>
      <c r="C1976" s="2" t="s">
        <v>627</v>
      </c>
      <c r="D1976" s="2" t="s">
        <v>720</v>
      </c>
      <c r="E1976" s="2" t="s">
        <v>169</v>
      </c>
    </row>
    <row r="1977" customFormat="false" ht="15" hidden="false" customHeight="false" outlineLevel="0" collapsed="false">
      <c r="A1977" s="2" t="s">
        <v>276</v>
      </c>
      <c r="B1977" s="2" t="s">
        <v>685</v>
      </c>
      <c r="C1977" s="2" t="s">
        <v>627</v>
      </c>
      <c r="D1977" s="2" t="s">
        <v>402</v>
      </c>
      <c r="E1977" s="2" t="s">
        <v>170</v>
      </c>
    </row>
    <row r="1978" customFormat="false" ht="15" hidden="false" customHeight="false" outlineLevel="0" collapsed="false">
      <c r="A1978" s="2" t="s">
        <v>276</v>
      </c>
      <c r="B1978" s="2" t="s">
        <v>686</v>
      </c>
      <c r="C1978" s="2" t="s">
        <v>628</v>
      </c>
      <c r="D1978" s="2" t="s">
        <v>687</v>
      </c>
      <c r="E1978" s="2" t="s">
        <v>166</v>
      </c>
    </row>
    <row r="1979" customFormat="false" ht="15" hidden="false" customHeight="false" outlineLevel="0" collapsed="false">
      <c r="A1979" s="2" t="s">
        <v>276</v>
      </c>
      <c r="B1979" s="2" t="s">
        <v>688</v>
      </c>
      <c r="C1979" s="2" t="s">
        <v>645</v>
      </c>
      <c r="D1979" s="2" t="s">
        <v>373</v>
      </c>
      <c r="E1979" s="2" t="s">
        <v>170</v>
      </c>
    </row>
    <row r="1980" customFormat="false" ht="15" hidden="false" customHeight="false" outlineLevel="0" collapsed="false">
      <c r="A1980" s="2" t="s">
        <v>278</v>
      </c>
      <c r="B1980" s="2" t="s">
        <v>649</v>
      </c>
      <c r="C1980" s="2" t="s">
        <v>635</v>
      </c>
      <c r="D1980" s="2" t="s">
        <v>487</v>
      </c>
      <c r="E1980" s="2" t="s">
        <v>166</v>
      </c>
    </row>
    <row r="1981" customFormat="false" ht="15" hidden="false" customHeight="false" outlineLevel="0" collapsed="false">
      <c r="A1981" s="2" t="s">
        <v>278</v>
      </c>
      <c r="B1981" s="2" t="s">
        <v>650</v>
      </c>
      <c r="C1981" s="2" t="s">
        <v>635</v>
      </c>
      <c r="D1981" s="2" t="s">
        <v>651</v>
      </c>
      <c r="E1981" s="2" t="s">
        <v>169</v>
      </c>
    </row>
    <row r="1982" customFormat="false" ht="15" hidden="false" customHeight="false" outlineLevel="0" collapsed="false">
      <c r="A1982" s="2" t="s">
        <v>278</v>
      </c>
      <c r="B1982" s="2" t="s">
        <v>652</v>
      </c>
      <c r="C1982" s="2" t="s">
        <v>635</v>
      </c>
      <c r="D1982" s="2" t="s">
        <v>653</v>
      </c>
      <c r="E1982" s="2" t="s">
        <v>169</v>
      </c>
    </row>
    <row r="1983" customFormat="false" ht="15" hidden="false" customHeight="false" outlineLevel="0" collapsed="false">
      <c r="A1983" s="2" t="s">
        <v>278</v>
      </c>
      <c r="B1983" s="2" t="s">
        <v>654</v>
      </c>
      <c r="C1983" s="2" t="s">
        <v>635</v>
      </c>
      <c r="D1983" s="2" t="s">
        <v>655</v>
      </c>
      <c r="E1983" s="2" t="s">
        <v>169</v>
      </c>
    </row>
    <row r="1984" customFormat="false" ht="15" hidden="false" customHeight="false" outlineLevel="0" collapsed="false">
      <c r="A1984" s="2" t="s">
        <v>278</v>
      </c>
      <c r="B1984" s="2" t="s">
        <v>656</v>
      </c>
      <c r="C1984" s="2" t="s">
        <v>642</v>
      </c>
      <c r="D1984" s="2" t="s">
        <v>487</v>
      </c>
      <c r="E1984" s="2" t="s">
        <v>166</v>
      </c>
    </row>
    <row r="1985" customFormat="false" ht="15" hidden="false" customHeight="false" outlineLevel="0" collapsed="false">
      <c r="A1985" s="2" t="s">
        <v>278</v>
      </c>
      <c r="B1985" s="2" t="s">
        <v>320</v>
      </c>
      <c r="C1985" s="2" t="s">
        <v>642</v>
      </c>
      <c r="D1985" s="2" t="s">
        <v>657</v>
      </c>
      <c r="E1985" s="2" t="s">
        <v>169</v>
      </c>
    </row>
    <row r="1986" customFormat="false" ht="15" hidden="false" customHeight="false" outlineLevel="0" collapsed="false">
      <c r="A1986" s="2" t="s">
        <v>278</v>
      </c>
      <c r="B1986" s="2" t="s">
        <v>658</v>
      </c>
      <c r="C1986" s="2" t="s">
        <v>642</v>
      </c>
      <c r="D1986" s="2" t="s">
        <v>487</v>
      </c>
      <c r="E1986" s="2" t="s">
        <v>166</v>
      </c>
    </row>
    <row r="1987" customFormat="false" ht="15" hidden="false" customHeight="false" outlineLevel="0" collapsed="false">
      <c r="A1987" s="2" t="s">
        <v>278</v>
      </c>
      <c r="B1987" s="2" t="s">
        <v>324</v>
      </c>
      <c r="C1987" s="2" t="s">
        <v>642</v>
      </c>
      <c r="D1987" s="2" t="s">
        <v>610</v>
      </c>
      <c r="E1987" s="2" t="s">
        <v>166</v>
      </c>
    </row>
    <row r="1988" customFormat="false" ht="15" hidden="false" customHeight="false" outlineLevel="0" collapsed="false">
      <c r="A1988" s="2" t="s">
        <v>278</v>
      </c>
      <c r="B1988" s="2" t="s">
        <v>660</v>
      </c>
      <c r="C1988" s="2" t="s">
        <v>640</v>
      </c>
      <c r="D1988" s="2" t="s">
        <v>355</v>
      </c>
      <c r="E1988" s="2" t="s">
        <v>166</v>
      </c>
    </row>
    <row r="1989" customFormat="false" ht="15" hidden="false" customHeight="false" outlineLevel="0" collapsed="false">
      <c r="A1989" s="2" t="s">
        <v>278</v>
      </c>
      <c r="B1989" s="2" t="s">
        <v>661</v>
      </c>
      <c r="C1989" s="2" t="s">
        <v>641</v>
      </c>
      <c r="D1989" s="2" t="s">
        <v>355</v>
      </c>
      <c r="E1989" s="2" t="s">
        <v>166</v>
      </c>
    </row>
    <row r="1990" customFormat="false" ht="15" hidden="false" customHeight="false" outlineLevel="0" collapsed="false">
      <c r="A1990" s="2" t="s">
        <v>278</v>
      </c>
      <c r="B1990" s="2" t="s">
        <v>662</v>
      </c>
      <c r="C1990" s="2" t="s">
        <v>630</v>
      </c>
      <c r="D1990" s="2" t="s">
        <v>585</v>
      </c>
      <c r="E1990" s="2" t="s">
        <v>167</v>
      </c>
    </row>
    <row r="1991" customFormat="false" ht="15" hidden="false" customHeight="false" outlineLevel="0" collapsed="false">
      <c r="A1991" s="2" t="s">
        <v>278</v>
      </c>
      <c r="B1991" s="2" t="s">
        <v>667</v>
      </c>
      <c r="C1991" s="2" t="s">
        <v>638</v>
      </c>
      <c r="D1991" s="2" t="s">
        <v>668</v>
      </c>
      <c r="E1991" s="2" t="s">
        <v>166</v>
      </c>
    </row>
    <row r="1992" customFormat="false" ht="15" hidden="false" customHeight="false" outlineLevel="0" collapsed="false">
      <c r="A1992" s="2" t="s">
        <v>278</v>
      </c>
      <c r="B1992" s="2" t="s">
        <v>669</v>
      </c>
      <c r="C1992" s="2" t="s">
        <v>636</v>
      </c>
      <c r="D1992" s="2" t="s">
        <v>670</v>
      </c>
      <c r="E1992" s="2" t="s">
        <v>166</v>
      </c>
    </row>
    <row r="1993" customFormat="false" ht="15" hidden="false" customHeight="false" outlineLevel="0" collapsed="false">
      <c r="A1993" s="2" t="s">
        <v>278</v>
      </c>
      <c r="B1993" s="2" t="s">
        <v>671</v>
      </c>
      <c r="C1993" s="2" t="s">
        <v>632</v>
      </c>
      <c r="D1993" s="2" t="s">
        <v>672</v>
      </c>
      <c r="E1993" s="2" t="s">
        <v>166</v>
      </c>
    </row>
    <row r="1994" customFormat="false" ht="15" hidden="false" customHeight="false" outlineLevel="0" collapsed="false">
      <c r="A1994" s="2" t="s">
        <v>278</v>
      </c>
      <c r="B1994" s="2" t="s">
        <v>675</v>
      </c>
      <c r="C1994" s="2" t="s">
        <v>632</v>
      </c>
      <c r="D1994" s="2" t="s">
        <v>523</v>
      </c>
      <c r="E1994" s="2" t="s">
        <v>168</v>
      </c>
    </row>
    <row r="1995" customFormat="false" ht="15" hidden="false" customHeight="false" outlineLevel="0" collapsed="false">
      <c r="A1995" s="2" t="s">
        <v>278</v>
      </c>
      <c r="B1995" s="2" t="s">
        <v>412</v>
      </c>
      <c r="C1995" s="2" t="s">
        <v>632</v>
      </c>
      <c r="D1995" s="2" t="s">
        <v>523</v>
      </c>
      <c r="E1995" s="2" t="s">
        <v>168</v>
      </c>
    </row>
    <row r="1996" customFormat="false" ht="15" hidden="false" customHeight="false" outlineLevel="0" collapsed="false">
      <c r="A1996" s="2" t="s">
        <v>278</v>
      </c>
      <c r="B1996" s="2" t="s">
        <v>693</v>
      </c>
      <c r="C1996" s="2" t="s">
        <v>632</v>
      </c>
      <c r="D1996" s="2" t="s">
        <v>523</v>
      </c>
      <c r="E1996" s="2" t="s">
        <v>170</v>
      </c>
    </row>
    <row r="1997" customFormat="false" ht="15" hidden="false" customHeight="false" outlineLevel="0" collapsed="false">
      <c r="A1997" s="2" t="s">
        <v>278</v>
      </c>
      <c r="B1997" s="2" t="s">
        <v>694</v>
      </c>
      <c r="C1997" s="2" t="s">
        <v>633</v>
      </c>
      <c r="D1997" s="2" t="s">
        <v>677</v>
      </c>
      <c r="E1997" s="2" t="s">
        <v>166</v>
      </c>
    </row>
    <row r="1998" customFormat="false" ht="15" hidden="false" customHeight="false" outlineLevel="0" collapsed="false">
      <c r="A1998" s="2" t="s">
        <v>278</v>
      </c>
      <c r="B1998" s="2" t="s">
        <v>678</v>
      </c>
      <c r="C1998" s="2" t="s">
        <v>634</v>
      </c>
      <c r="D1998" s="2" t="s">
        <v>695</v>
      </c>
      <c r="E1998" s="2" t="s">
        <v>169</v>
      </c>
    </row>
    <row r="1999" customFormat="false" ht="15" hidden="false" customHeight="false" outlineLevel="0" collapsed="false">
      <c r="A1999" s="2" t="s">
        <v>278</v>
      </c>
      <c r="B1999" s="2" t="s">
        <v>680</v>
      </c>
      <c r="C1999" s="2" t="s">
        <v>629</v>
      </c>
      <c r="D1999" s="2" t="s">
        <v>681</v>
      </c>
      <c r="E1999" s="2" t="s">
        <v>169</v>
      </c>
    </row>
    <row r="2000" customFormat="false" ht="15" hidden="false" customHeight="false" outlineLevel="0" collapsed="false">
      <c r="A2000" s="2" t="s">
        <v>278</v>
      </c>
      <c r="B2000" s="2" t="s">
        <v>370</v>
      </c>
      <c r="C2000" s="2" t="s">
        <v>627</v>
      </c>
      <c r="D2000" s="2" t="s">
        <v>682</v>
      </c>
      <c r="E2000" s="2" t="s">
        <v>166</v>
      </c>
    </row>
    <row r="2001" customFormat="false" ht="15" hidden="false" customHeight="false" outlineLevel="0" collapsed="false">
      <c r="A2001" s="2" t="s">
        <v>278</v>
      </c>
      <c r="B2001" s="2" t="s">
        <v>683</v>
      </c>
      <c r="C2001" s="2" t="s">
        <v>627</v>
      </c>
      <c r="D2001" s="2" t="s">
        <v>402</v>
      </c>
      <c r="E2001" s="2" t="s">
        <v>168</v>
      </c>
    </row>
    <row r="2002" customFormat="false" ht="15" hidden="false" customHeight="false" outlineLevel="0" collapsed="false">
      <c r="A2002" s="2" t="s">
        <v>278</v>
      </c>
      <c r="B2002" s="2" t="s">
        <v>684</v>
      </c>
      <c r="C2002" s="2" t="s">
        <v>627</v>
      </c>
      <c r="D2002" s="2" t="s">
        <v>402</v>
      </c>
      <c r="E2002" s="2" t="s">
        <v>168</v>
      </c>
    </row>
    <row r="2003" customFormat="false" ht="15" hidden="false" customHeight="false" outlineLevel="0" collapsed="false">
      <c r="A2003" s="2" t="s">
        <v>278</v>
      </c>
      <c r="B2003" s="2" t="s">
        <v>410</v>
      </c>
      <c r="C2003" s="2" t="s">
        <v>627</v>
      </c>
      <c r="D2003" s="2" t="s">
        <v>402</v>
      </c>
      <c r="E2003" s="2" t="s">
        <v>168</v>
      </c>
    </row>
    <row r="2004" customFormat="false" ht="15" hidden="false" customHeight="false" outlineLevel="0" collapsed="false">
      <c r="A2004" s="2" t="s">
        <v>278</v>
      </c>
      <c r="B2004" s="2" t="s">
        <v>685</v>
      </c>
      <c r="C2004" s="2" t="s">
        <v>627</v>
      </c>
      <c r="D2004" s="2" t="s">
        <v>402</v>
      </c>
      <c r="E2004" s="2" t="s">
        <v>170</v>
      </c>
    </row>
    <row r="2005" customFormat="false" ht="15" hidden="false" customHeight="false" outlineLevel="0" collapsed="false">
      <c r="A2005" s="2" t="s">
        <v>278</v>
      </c>
      <c r="B2005" s="2" t="s">
        <v>686</v>
      </c>
      <c r="C2005" s="2" t="s">
        <v>628</v>
      </c>
      <c r="D2005" s="2" t="s">
        <v>687</v>
      </c>
      <c r="E2005" s="2" t="s">
        <v>166</v>
      </c>
    </row>
    <row r="2006" customFormat="false" ht="15" hidden="false" customHeight="false" outlineLevel="0" collapsed="false">
      <c r="A2006" s="2" t="s">
        <v>278</v>
      </c>
      <c r="B2006" s="2" t="s">
        <v>711</v>
      </c>
      <c r="C2006" s="2" t="s">
        <v>644</v>
      </c>
      <c r="D2006" s="2" t="s">
        <v>604</v>
      </c>
      <c r="E2006" s="2" t="s">
        <v>170</v>
      </c>
    </row>
    <row r="2007" customFormat="false" ht="15" hidden="false" customHeight="false" outlineLevel="0" collapsed="false">
      <c r="A2007" s="2" t="s">
        <v>278</v>
      </c>
      <c r="B2007" s="2" t="s">
        <v>688</v>
      </c>
      <c r="C2007" s="2" t="s">
        <v>645</v>
      </c>
      <c r="D2007" s="2" t="s">
        <v>373</v>
      </c>
      <c r="E2007" s="2" t="s">
        <v>170</v>
      </c>
    </row>
    <row r="2008" customFormat="false" ht="15" hidden="false" customHeight="false" outlineLevel="0" collapsed="false">
      <c r="A2008" s="2" t="s">
        <v>279</v>
      </c>
      <c r="B2008" s="2" t="s">
        <v>649</v>
      </c>
      <c r="C2008" s="2" t="s">
        <v>635</v>
      </c>
      <c r="D2008" s="2" t="s">
        <v>487</v>
      </c>
      <c r="E2008" s="2" t="s">
        <v>166</v>
      </c>
    </row>
    <row r="2009" customFormat="false" ht="15" hidden="false" customHeight="false" outlineLevel="0" collapsed="false">
      <c r="A2009" s="2" t="s">
        <v>279</v>
      </c>
      <c r="B2009" s="2" t="s">
        <v>650</v>
      </c>
      <c r="C2009" s="2" t="s">
        <v>635</v>
      </c>
      <c r="D2009" s="2" t="s">
        <v>651</v>
      </c>
      <c r="E2009" s="2" t="s">
        <v>169</v>
      </c>
    </row>
    <row r="2010" customFormat="false" ht="15" hidden="false" customHeight="false" outlineLevel="0" collapsed="false">
      <c r="A2010" s="2" t="s">
        <v>279</v>
      </c>
      <c r="B2010" s="2" t="s">
        <v>652</v>
      </c>
      <c r="C2010" s="2" t="s">
        <v>635</v>
      </c>
      <c r="D2010" s="2" t="s">
        <v>653</v>
      </c>
      <c r="E2010" s="2" t="s">
        <v>169</v>
      </c>
    </row>
    <row r="2011" customFormat="false" ht="15" hidden="false" customHeight="false" outlineLevel="0" collapsed="false">
      <c r="A2011" s="2" t="s">
        <v>279</v>
      </c>
      <c r="B2011" s="2" t="s">
        <v>654</v>
      </c>
      <c r="C2011" s="2" t="s">
        <v>635</v>
      </c>
      <c r="D2011" s="2" t="s">
        <v>655</v>
      </c>
      <c r="E2011" s="2" t="s">
        <v>169</v>
      </c>
    </row>
    <row r="2012" customFormat="false" ht="15" hidden="false" customHeight="false" outlineLevel="0" collapsed="false">
      <c r="A2012" s="2" t="s">
        <v>279</v>
      </c>
      <c r="B2012" s="2" t="s">
        <v>656</v>
      </c>
      <c r="C2012" s="2" t="s">
        <v>642</v>
      </c>
      <c r="D2012" s="2" t="s">
        <v>487</v>
      </c>
      <c r="E2012" s="2" t="s">
        <v>166</v>
      </c>
    </row>
    <row r="2013" customFormat="false" ht="15" hidden="false" customHeight="false" outlineLevel="0" collapsed="false">
      <c r="A2013" s="2" t="s">
        <v>279</v>
      </c>
      <c r="B2013" s="2" t="s">
        <v>320</v>
      </c>
      <c r="C2013" s="2" t="s">
        <v>642</v>
      </c>
      <c r="D2013" s="2" t="s">
        <v>657</v>
      </c>
      <c r="E2013" s="2" t="s">
        <v>169</v>
      </c>
    </row>
    <row r="2014" customFormat="false" ht="15" hidden="false" customHeight="false" outlineLevel="0" collapsed="false">
      <c r="A2014" s="2" t="s">
        <v>279</v>
      </c>
      <c r="B2014" s="2" t="s">
        <v>658</v>
      </c>
      <c r="C2014" s="2" t="s">
        <v>642</v>
      </c>
      <c r="D2014" s="2" t="s">
        <v>487</v>
      </c>
      <c r="E2014" s="2" t="s">
        <v>166</v>
      </c>
    </row>
    <row r="2015" customFormat="false" ht="15" hidden="false" customHeight="false" outlineLevel="0" collapsed="false">
      <c r="A2015" s="2" t="s">
        <v>279</v>
      </c>
      <c r="B2015" s="2" t="s">
        <v>324</v>
      </c>
      <c r="C2015" s="2" t="s">
        <v>642</v>
      </c>
      <c r="D2015" s="2" t="s">
        <v>610</v>
      </c>
      <c r="E2015" s="2" t="s">
        <v>166</v>
      </c>
    </row>
    <row r="2016" customFormat="false" ht="15" hidden="false" customHeight="false" outlineLevel="0" collapsed="false">
      <c r="A2016" s="2" t="s">
        <v>279</v>
      </c>
      <c r="B2016" s="2" t="s">
        <v>660</v>
      </c>
      <c r="C2016" s="2" t="s">
        <v>640</v>
      </c>
      <c r="D2016" s="2" t="s">
        <v>355</v>
      </c>
      <c r="E2016" s="2" t="s">
        <v>166</v>
      </c>
    </row>
    <row r="2017" customFormat="false" ht="15" hidden="false" customHeight="false" outlineLevel="0" collapsed="false">
      <c r="A2017" s="2" t="s">
        <v>279</v>
      </c>
      <c r="B2017" s="2" t="s">
        <v>661</v>
      </c>
      <c r="C2017" s="2" t="s">
        <v>641</v>
      </c>
      <c r="D2017" s="2" t="s">
        <v>355</v>
      </c>
      <c r="E2017" s="2" t="s">
        <v>166</v>
      </c>
    </row>
    <row r="2018" customFormat="false" ht="15" hidden="false" customHeight="false" outlineLevel="0" collapsed="false">
      <c r="A2018" s="2" t="s">
        <v>279</v>
      </c>
      <c r="B2018" s="2" t="s">
        <v>662</v>
      </c>
      <c r="C2018" s="2" t="s">
        <v>630</v>
      </c>
      <c r="D2018" s="2" t="s">
        <v>585</v>
      </c>
      <c r="E2018" s="2" t="s">
        <v>167</v>
      </c>
    </row>
    <row r="2019" customFormat="false" ht="15" hidden="false" customHeight="false" outlineLevel="0" collapsed="false">
      <c r="A2019" s="2" t="s">
        <v>279</v>
      </c>
      <c r="B2019" s="2" t="s">
        <v>667</v>
      </c>
      <c r="C2019" s="2" t="s">
        <v>638</v>
      </c>
      <c r="D2019" s="2" t="s">
        <v>668</v>
      </c>
      <c r="E2019" s="2" t="s">
        <v>166</v>
      </c>
    </row>
    <row r="2020" customFormat="false" ht="15" hidden="false" customHeight="false" outlineLevel="0" collapsed="false">
      <c r="A2020" s="2" t="s">
        <v>279</v>
      </c>
      <c r="B2020" s="2" t="s">
        <v>669</v>
      </c>
      <c r="C2020" s="2" t="s">
        <v>636</v>
      </c>
      <c r="D2020" s="2" t="s">
        <v>670</v>
      </c>
      <c r="E2020" s="2" t="s">
        <v>166</v>
      </c>
    </row>
    <row r="2021" customFormat="false" ht="15" hidden="false" customHeight="false" outlineLevel="0" collapsed="false">
      <c r="A2021" s="2" t="s">
        <v>279</v>
      </c>
      <c r="B2021" s="2" t="s">
        <v>671</v>
      </c>
      <c r="C2021" s="2" t="s">
        <v>632</v>
      </c>
      <c r="D2021" s="2" t="s">
        <v>672</v>
      </c>
      <c r="E2021" s="2" t="s">
        <v>166</v>
      </c>
    </row>
    <row r="2022" customFormat="false" ht="15" hidden="false" customHeight="false" outlineLevel="0" collapsed="false">
      <c r="A2022" s="2" t="s">
        <v>279</v>
      </c>
      <c r="B2022" s="2" t="s">
        <v>673</v>
      </c>
      <c r="C2022" s="2" t="s">
        <v>632</v>
      </c>
      <c r="D2022" s="2" t="s">
        <v>523</v>
      </c>
      <c r="E2022" s="2" t="s">
        <v>168</v>
      </c>
    </row>
    <row r="2023" customFormat="false" ht="15" hidden="false" customHeight="false" outlineLevel="0" collapsed="false">
      <c r="A2023" s="2" t="s">
        <v>279</v>
      </c>
      <c r="B2023" s="2" t="s">
        <v>674</v>
      </c>
      <c r="C2023" s="2" t="s">
        <v>632</v>
      </c>
      <c r="D2023" s="2" t="s">
        <v>523</v>
      </c>
      <c r="E2023" s="2" t="s">
        <v>168</v>
      </c>
    </row>
    <row r="2024" customFormat="false" ht="15" hidden="false" customHeight="false" outlineLevel="0" collapsed="false">
      <c r="A2024" s="2" t="s">
        <v>279</v>
      </c>
      <c r="B2024" s="2" t="s">
        <v>692</v>
      </c>
      <c r="C2024" s="2" t="s">
        <v>632</v>
      </c>
      <c r="D2024" s="2" t="s">
        <v>523</v>
      </c>
      <c r="E2024" s="2" t="s">
        <v>168</v>
      </c>
    </row>
    <row r="2025" customFormat="false" ht="15" hidden="false" customHeight="false" outlineLevel="0" collapsed="false">
      <c r="A2025" s="2" t="s">
        <v>279</v>
      </c>
      <c r="B2025" s="2" t="s">
        <v>675</v>
      </c>
      <c r="C2025" s="2" t="s">
        <v>632</v>
      </c>
      <c r="D2025" s="2" t="s">
        <v>523</v>
      </c>
      <c r="E2025" s="2" t="s">
        <v>168</v>
      </c>
    </row>
    <row r="2026" customFormat="false" ht="15" hidden="false" customHeight="false" outlineLevel="0" collapsed="false">
      <c r="A2026" s="2" t="s">
        <v>279</v>
      </c>
      <c r="B2026" s="2" t="s">
        <v>412</v>
      </c>
      <c r="C2026" s="2" t="s">
        <v>632</v>
      </c>
      <c r="D2026" s="2" t="s">
        <v>523</v>
      </c>
      <c r="E2026" s="2" t="s">
        <v>168</v>
      </c>
    </row>
    <row r="2027" customFormat="false" ht="15" hidden="false" customHeight="false" outlineLevel="0" collapsed="false">
      <c r="A2027" s="2" t="s">
        <v>279</v>
      </c>
      <c r="B2027" s="2" t="s">
        <v>694</v>
      </c>
      <c r="C2027" s="2" t="s">
        <v>633</v>
      </c>
      <c r="D2027" s="2" t="s">
        <v>677</v>
      </c>
      <c r="E2027" s="2" t="s">
        <v>166</v>
      </c>
    </row>
    <row r="2028" customFormat="false" ht="15" hidden="false" customHeight="false" outlineLevel="0" collapsed="false">
      <c r="A2028" s="2" t="s">
        <v>279</v>
      </c>
      <c r="B2028" s="2" t="s">
        <v>678</v>
      </c>
      <c r="C2028" s="2" t="s">
        <v>634</v>
      </c>
      <c r="D2028" s="2" t="s">
        <v>695</v>
      </c>
      <c r="E2028" s="2" t="s">
        <v>169</v>
      </c>
    </row>
    <row r="2029" customFormat="false" ht="15" hidden="false" customHeight="false" outlineLevel="0" collapsed="false">
      <c r="A2029" s="2" t="s">
        <v>279</v>
      </c>
      <c r="B2029" s="2" t="s">
        <v>680</v>
      </c>
      <c r="C2029" s="2" t="s">
        <v>629</v>
      </c>
      <c r="D2029" s="2" t="s">
        <v>703</v>
      </c>
      <c r="E2029" s="2" t="s">
        <v>166</v>
      </c>
    </row>
    <row r="2030" customFormat="false" ht="15" hidden="false" customHeight="false" outlineLevel="0" collapsed="false">
      <c r="A2030" s="2" t="s">
        <v>279</v>
      </c>
      <c r="B2030" s="2" t="s">
        <v>370</v>
      </c>
      <c r="C2030" s="2" t="s">
        <v>627</v>
      </c>
      <c r="D2030" s="2" t="s">
        <v>682</v>
      </c>
      <c r="E2030" s="2" t="s">
        <v>166</v>
      </c>
    </row>
    <row r="2031" customFormat="false" ht="15" hidden="false" customHeight="false" outlineLevel="0" collapsed="false">
      <c r="A2031" s="2" t="s">
        <v>279</v>
      </c>
      <c r="B2031" s="2" t="s">
        <v>696</v>
      </c>
      <c r="C2031" s="2" t="s">
        <v>627</v>
      </c>
      <c r="D2031" s="2" t="s">
        <v>402</v>
      </c>
      <c r="E2031" s="2" t="s">
        <v>168</v>
      </c>
    </row>
    <row r="2032" customFormat="false" ht="15" hidden="false" customHeight="false" outlineLevel="0" collapsed="false">
      <c r="A2032" s="2" t="s">
        <v>279</v>
      </c>
      <c r="B2032" s="2" t="s">
        <v>697</v>
      </c>
      <c r="C2032" s="2" t="s">
        <v>627</v>
      </c>
      <c r="D2032" s="2" t="s">
        <v>402</v>
      </c>
      <c r="E2032" s="2" t="s">
        <v>168</v>
      </c>
    </row>
    <row r="2033" customFormat="false" ht="15" hidden="false" customHeight="false" outlineLevel="0" collapsed="false">
      <c r="A2033" s="2" t="s">
        <v>279</v>
      </c>
      <c r="B2033" s="2" t="s">
        <v>683</v>
      </c>
      <c r="C2033" s="2" t="s">
        <v>627</v>
      </c>
      <c r="D2033" s="2" t="s">
        <v>402</v>
      </c>
      <c r="E2033" s="2" t="s">
        <v>168</v>
      </c>
    </row>
    <row r="2034" customFormat="false" ht="15" hidden="false" customHeight="false" outlineLevel="0" collapsed="false">
      <c r="A2034" s="2" t="s">
        <v>279</v>
      </c>
      <c r="B2034" s="2" t="s">
        <v>684</v>
      </c>
      <c r="C2034" s="2" t="s">
        <v>627</v>
      </c>
      <c r="D2034" s="2" t="s">
        <v>402</v>
      </c>
      <c r="E2034" s="2" t="s">
        <v>168</v>
      </c>
    </row>
    <row r="2035" customFormat="false" ht="15" hidden="false" customHeight="false" outlineLevel="0" collapsed="false">
      <c r="A2035" s="2" t="s">
        <v>279</v>
      </c>
      <c r="B2035" s="2" t="s">
        <v>410</v>
      </c>
      <c r="C2035" s="2" t="s">
        <v>627</v>
      </c>
      <c r="D2035" s="2" t="s">
        <v>402</v>
      </c>
      <c r="E2035" s="2" t="s">
        <v>168</v>
      </c>
    </row>
    <row r="2036" customFormat="false" ht="15" hidden="false" customHeight="false" outlineLevel="0" collapsed="false">
      <c r="A2036" s="2" t="s">
        <v>279</v>
      </c>
      <c r="B2036" s="2" t="s">
        <v>686</v>
      </c>
      <c r="C2036" s="2" t="s">
        <v>628</v>
      </c>
      <c r="D2036" s="2" t="s">
        <v>687</v>
      </c>
      <c r="E2036" s="2" t="s">
        <v>166</v>
      </c>
    </row>
    <row r="2037" customFormat="false" ht="15" hidden="false" customHeight="false" outlineLevel="0" collapsed="false">
      <c r="A2037" s="2" t="s">
        <v>279</v>
      </c>
      <c r="B2037" s="2" t="s">
        <v>688</v>
      </c>
      <c r="C2037" s="2" t="s">
        <v>645</v>
      </c>
      <c r="D2037" s="2" t="s">
        <v>373</v>
      </c>
      <c r="E2037" s="2" t="s">
        <v>170</v>
      </c>
    </row>
    <row r="2038" customFormat="false" ht="15" hidden="false" customHeight="false" outlineLevel="0" collapsed="false">
      <c r="A2038" s="2" t="s">
        <v>279</v>
      </c>
      <c r="B2038" s="2" t="s">
        <v>689</v>
      </c>
      <c r="C2038" s="2" t="s">
        <v>645</v>
      </c>
      <c r="D2038" s="2" t="s">
        <v>690</v>
      </c>
      <c r="E2038" s="2" t="s">
        <v>167</v>
      </c>
    </row>
    <row r="2039" customFormat="false" ht="15" hidden="false" customHeight="false" outlineLevel="0" collapsed="false">
      <c r="A2039" s="2" t="s">
        <v>279</v>
      </c>
      <c r="B2039" s="2" t="s">
        <v>691</v>
      </c>
      <c r="C2039" s="2" t="s">
        <v>645</v>
      </c>
      <c r="D2039" s="2" t="s">
        <v>690</v>
      </c>
      <c r="E2039" s="2" t="s">
        <v>167</v>
      </c>
    </row>
    <row r="2040" customFormat="false" ht="15" hidden="false" customHeight="false" outlineLevel="0" collapsed="false">
      <c r="A2040" s="2" t="s">
        <v>280</v>
      </c>
      <c r="B2040" s="2" t="s">
        <v>649</v>
      </c>
      <c r="C2040" s="2" t="s">
        <v>635</v>
      </c>
      <c r="D2040" s="2" t="s">
        <v>487</v>
      </c>
      <c r="E2040" s="2" t="s">
        <v>166</v>
      </c>
    </row>
    <row r="2041" customFormat="false" ht="15" hidden="false" customHeight="false" outlineLevel="0" collapsed="false">
      <c r="A2041" s="2" t="s">
        <v>280</v>
      </c>
      <c r="B2041" s="2" t="s">
        <v>650</v>
      </c>
      <c r="C2041" s="2" t="s">
        <v>635</v>
      </c>
      <c r="D2041" s="2" t="s">
        <v>651</v>
      </c>
      <c r="E2041" s="2" t="s">
        <v>169</v>
      </c>
    </row>
    <row r="2042" customFormat="false" ht="15" hidden="false" customHeight="false" outlineLevel="0" collapsed="false">
      <c r="A2042" s="2" t="s">
        <v>280</v>
      </c>
      <c r="B2042" s="2" t="s">
        <v>652</v>
      </c>
      <c r="C2042" s="2" t="s">
        <v>635</v>
      </c>
      <c r="D2042" s="2" t="s">
        <v>653</v>
      </c>
      <c r="E2042" s="2" t="s">
        <v>169</v>
      </c>
    </row>
    <row r="2043" customFormat="false" ht="15" hidden="false" customHeight="false" outlineLevel="0" collapsed="false">
      <c r="A2043" s="2" t="s">
        <v>280</v>
      </c>
      <c r="B2043" s="2" t="s">
        <v>654</v>
      </c>
      <c r="C2043" s="2" t="s">
        <v>635</v>
      </c>
      <c r="D2043" s="2" t="s">
        <v>655</v>
      </c>
      <c r="E2043" s="2" t="s">
        <v>169</v>
      </c>
    </row>
    <row r="2044" customFormat="false" ht="15" hidden="false" customHeight="false" outlineLevel="0" collapsed="false">
      <c r="A2044" s="2" t="s">
        <v>280</v>
      </c>
      <c r="B2044" s="2" t="s">
        <v>656</v>
      </c>
      <c r="C2044" s="2" t="s">
        <v>642</v>
      </c>
      <c r="D2044" s="2" t="s">
        <v>487</v>
      </c>
      <c r="E2044" s="2" t="s">
        <v>166</v>
      </c>
    </row>
    <row r="2045" customFormat="false" ht="15" hidden="false" customHeight="false" outlineLevel="0" collapsed="false">
      <c r="A2045" s="2" t="s">
        <v>280</v>
      </c>
      <c r="B2045" s="2" t="s">
        <v>320</v>
      </c>
      <c r="C2045" s="2" t="s">
        <v>642</v>
      </c>
      <c r="D2045" s="2" t="s">
        <v>657</v>
      </c>
      <c r="E2045" s="2" t="s">
        <v>169</v>
      </c>
    </row>
    <row r="2046" customFormat="false" ht="15" hidden="false" customHeight="false" outlineLevel="0" collapsed="false">
      <c r="A2046" s="2" t="s">
        <v>280</v>
      </c>
      <c r="B2046" s="2" t="s">
        <v>658</v>
      </c>
      <c r="C2046" s="2" t="s">
        <v>642</v>
      </c>
      <c r="D2046" s="2" t="s">
        <v>487</v>
      </c>
      <c r="E2046" s="2" t="s">
        <v>166</v>
      </c>
    </row>
    <row r="2047" customFormat="false" ht="15" hidden="false" customHeight="false" outlineLevel="0" collapsed="false">
      <c r="A2047" s="2" t="s">
        <v>280</v>
      </c>
      <c r="B2047" s="2" t="s">
        <v>324</v>
      </c>
      <c r="C2047" s="2" t="s">
        <v>642</v>
      </c>
      <c r="D2047" s="2" t="s">
        <v>659</v>
      </c>
      <c r="E2047" s="2" t="s">
        <v>169</v>
      </c>
    </row>
    <row r="2048" customFormat="false" ht="15" hidden="false" customHeight="false" outlineLevel="0" collapsed="false">
      <c r="A2048" s="2" t="s">
        <v>280</v>
      </c>
      <c r="B2048" s="2" t="s">
        <v>660</v>
      </c>
      <c r="C2048" s="2" t="s">
        <v>640</v>
      </c>
      <c r="D2048" s="2" t="s">
        <v>355</v>
      </c>
      <c r="E2048" s="2" t="s">
        <v>166</v>
      </c>
    </row>
    <row r="2049" customFormat="false" ht="15" hidden="false" customHeight="false" outlineLevel="0" collapsed="false">
      <c r="A2049" s="2" t="s">
        <v>280</v>
      </c>
      <c r="B2049" s="2" t="s">
        <v>661</v>
      </c>
      <c r="C2049" s="2" t="s">
        <v>641</v>
      </c>
      <c r="D2049" s="2" t="s">
        <v>355</v>
      </c>
      <c r="E2049" s="2" t="s">
        <v>166</v>
      </c>
    </row>
    <row r="2050" customFormat="false" ht="15" hidden="false" customHeight="false" outlineLevel="0" collapsed="false">
      <c r="A2050" s="2" t="s">
        <v>280</v>
      </c>
      <c r="B2050" s="2" t="s">
        <v>662</v>
      </c>
      <c r="C2050" s="2" t="s">
        <v>630</v>
      </c>
      <c r="D2050" s="2" t="s">
        <v>585</v>
      </c>
      <c r="E2050" s="2" t="s">
        <v>167</v>
      </c>
    </row>
    <row r="2051" customFormat="false" ht="15" hidden="false" customHeight="false" outlineLevel="0" collapsed="false">
      <c r="A2051" s="2" t="s">
        <v>280</v>
      </c>
      <c r="B2051" s="2" t="s">
        <v>667</v>
      </c>
      <c r="C2051" s="2" t="s">
        <v>638</v>
      </c>
      <c r="D2051" s="2" t="s">
        <v>668</v>
      </c>
      <c r="E2051" s="2" t="s">
        <v>166</v>
      </c>
    </row>
    <row r="2052" customFormat="false" ht="15" hidden="false" customHeight="false" outlineLevel="0" collapsed="false">
      <c r="A2052" s="2" t="s">
        <v>280</v>
      </c>
      <c r="B2052" s="2" t="s">
        <v>669</v>
      </c>
      <c r="C2052" s="2" t="s">
        <v>636</v>
      </c>
      <c r="D2052" s="2" t="s">
        <v>670</v>
      </c>
      <c r="E2052" s="2" t="s">
        <v>166</v>
      </c>
    </row>
    <row r="2053" customFormat="false" ht="15" hidden="false" customHeight="false" outlineLevel="0" collapsed="false">
      <c r="A2053" s="2" t="s">
        <v>280</v>
      </c>
      <c r="B2053" s="2" t="s">
        <v>700</v>
      </c>
      <c r="C2053" s="2" t="s">
        <v>558</v>
      </c>
      <c r="D2053" s="2" t="s">
        <v>701</v>
      </c>
      <c r="E2053" s="2" t="s">
        <v>166</v>
      </c>
    </row>
    <row r="2054" customFormat="false" ht="15" hidden="false" customHeight="false" outlineLevel="0" collapsed="false">
      <c r="A2054" s="2" t="s">
        <v>280</v>
      </c>
      <c r="B2054" s="2" t="s">
        <v>671</v>
      </c>
      <c r="C2054" s="2" t="s">
        <v>632</v>
      </c>
      <c r="D2054" s="2" t="s">
        <v>672</v>
      </c>
      <c r="E2054" s="2" t="s">
        <v>166</v>
      </c>
    </row>
    <row r="2055" customFormat="false" ht="15" hidden="false" customHeight="false" outlineLevel="0" collapsed="false">
      <c r="A2055" s="2" t="s">
        <v>280</v>
      </c>
      <c r="B2055" s="2" t="s">
        <v>675</v>
      </c>
      <c r="C2055" s="2" t="s">
        <v>632</v>
      </c>
      <c r="D2055" s="2" t="s">
        <v>523</v>
      </c>
      <c r="E2055" s="2" t="s">
        <v>168</v>
      </c>
    </row>
    <row r="2056" customFormat="false" ht="15" hidden="false" customHeight="false" outlineLevel="0" collapsed="false">
      <c r="A2056" s="2" t="s">
        <v>280</v>
      </c>
      <c r="B2056" s="2" t="s">
        <v>412</v>
      </c>
      <c r="C2056" s="2" t="s">
        <v>632</v>
      </c>
      <c r="D2056" s="2" t="s">
        <v>523</v>
      </c>
      <c r="E2056" s="2" t="s">
        <v>168</v>
      </c>
    </row>
    <row r="2057" customFormat="false" ht="15" hidden="false" customHeight="false" outlineLevel="0" collapsed="false">
      <c r="A2057" s="2" t="s">
        <v>280</v>
      </c>
      <c r="B2057" s="2" t="s">
        <v>693</v>
      </c>
      <c r="C2057" s="2" t="s">
        <v>632</v>
      </c>
      <c r="D2057" s="2" t="s">
        <v>523</v>
      </c>
      <c r="E2057" s="2" t="s">
        <v>170</v>
      </c>
    </row>
    <row r="2058" customFormat="false" ht="15" hidden="false" customHeight="false" outlineLevel="0" collapsed="false">
      <c r="A2058" s="2" t="s">
        <v>280</v>
      </c>
      <c r="B2058" s="2" t="s">
        <v>694</v>
      </c>
      <c r="C2058" s="2" t="s">
        <v>633</v>
      </c>
      <c r="D2058" s="2" t="s">
        <v>677</v>
      </c>
      <c r="E2058" s="2" t="s">
        <v>166</v>
      </c>
    </row>
    <row r="2059" customFormat="false" ht="15" hidden="false" customHeight="false" outlineLevel="0" collapsed="false">
      <c r="A2059" s="2" t="s">
        <v>280</v>
      </c>
      <c r="B2059" s="2" t="s">
        <v>678</v>
      </c>
      <c r="C2059" s="2" t="s">
        <v>634</v>
      </c>
      <c r="D2059" s="2" t="s">
        <v>679</v>
      </c>
      <c r="E2059" s="2" t="s">
        <v>166</v>
      </c>
    </row>
    <row r="2060" customFormat="false" ht="15" hidden="false" customHeight="false" outlineLevel="0" collapsed="false">
      <c r="A2060" s="2" t="s">
        <v>280</v>
      </c>
      <c r="B2060" s="2" t="s">
        <v>680</v>
      </c>
      <c r="C2060" s="2" t="s">
        <v>629</v>
      </c>
      <c r="D2060" s="2" t="s">
        <v>681</v>
      </c>
      <c r="E2060" s="2" t="s">
        <v>169</v>
      </c>
    </row>
    <row r="2061" customFormat="false" ht="15" hidden="false" customHeight="false" outlineLevel="0" collapsed="false">
      <c r="A2061" s="2" t="s">
        <v>280</v>
      </c>
      <c r="B2061" s="2" t="s">
        <v>370</v>
      </c>
      <c r="C2061" s="2" t="s">
        <v>627</v>
      </c>
      <c r="D2061" s="2" t="s">
        <v>717</v>
      </c>
      <c r="E2061" s="2" t="s">
        <v>166</v>
      </c>
    </row>
    <row r="2062" customFormat="false" ht="15" hidden="false" customHeight="false" outlineLevel="0" collapsed="false">
      <c r="A2062" s="2" t="s">
        <v>280</v>
      </c>
      <c r="B2062" s="2" t="s">
        <v>684</v>
      </c>
      <c r="C2062" s="2" t="s">
        <v>627</v>
      </c>
      <c r="D2062" s="2" t="s">
        <v>718</v>
      </c>
      <c r="E2062" s="2" t="s">
        <v>166</v>
      </c>
    </row>
    <row r="2063" customFormat="false" ht="15" hidden="false" customHeight="false" outlineLevel="0" collapsed="false">
      <c r="A2063" s="2" t="s">
        <v>280</v>
      </c>
      <c r="B2063" s="2" t="s">
        <v>410</v>
      </c>
      <c r="C2063" s="2" t="s">
        <v>627</v>
      </c>
      <c r="D2063" s="2" t="s">
        <v>718</v>
      </c>
      <c r="E2063" s="2" t="s">
        <v>166</v>
      </c>
    </row>
    <row r="2064" customFormat="false" ht="15" hidden="false" customHeight="false" outlineLevel="0" collapsed="false">
      <c r="A2064" s="2" t="s">
        <v>280</v>
      </c>
      <c r="B2064" s="2" t="s">
        <v>685</v>
      </c>
      <c r="C2064" s="2" t="s">
        <v>627</v>
      </c>
      <c r="D2064" s="2" t="s">
        <v>718</v>
      </c>
      <c r="E2064" s="2" t="s">
        <v>170</v>
      </c>
    </row>
    <row r="2065" customFormat="false" ht="15" hidden="false" customHeight="false" outlineLevel="0" collapsed="false">
      <c r="A2065" s="2" t="s">
        <v>280</v>
      </c>
      <c r="B2065" s="2" t="s">
        <v>686</v>
      </c>
      <c r="C2065" s="2" t="s">
        <v>628</v>
      </c>
      <c r="D2065" s="2" t="s">
        <v>719</v>
      </c>
      <c r="E2065" s="2" t="s">
        <v>166</v>
      </c>
    </row>
    <row r="2066" customFormat="false" ht="15" hidden="false" customHeight="false" outlineLevel="0" collapsed="false">
      <c r="A2066" s="2" t="s">
        <v>280</v>
      </c>
      <c r="B2066" s="2" t="s">
        <v>711</v>
      </c>
      <c r="C2066" s="2" t="s">
        <v>644</v>
      </c>
      <c r="D2066" s="2" t="s">
        <v>604</v>
      </c>
      <c r="E2066" s="2" t="s">
        <v>170</v>
      </c>
    </row>
    <row r="2067" customFormat="false" ht="15" hidden="false" customHeight="false" outlineLevel="0" collapsed="false">
      <c r="A2067" s="2" t="s">
        <v>280</v>
      </c>
      <c r="B2067" s="2" t="s">
        <v>688</v>
      </c>
      <c r="C2067" s="2" t="s">
        <v>645</v>
      </c>
      <c r="D2067" s="2" t="s">
        <v>373</v>
      </c>
      <c r="E2067" s="2" t="s">
        <v>170</v>
      </c>
    </row>
    <row r="2068" customFormat="false" ht="15" hidden="false" customHeight="false" outlineLevel="0" collapsed="false">
      <c r="A2068" s="2" t="s">
        <v>281</v>
      </c>
      <c r="B2068" s="2" t="s">
        <v>649</v>
      </c>
      <c r="C2068" s="2" t="s">
        <v>635</v>
      </c>
      <c r="D2068" s="2" t="s">
        <v>487</v>
      </c>
      <c r="E2068" s="2" t="s">
        <v>166</v>
      </c>
    </row>
    <row r="2069" customFormat="false" ht="15" hidden="false" customHeight="false" outlineLevel="0" collapsed="false">
      <c r="A2069" s="2" t="s">
        <v>281</v>
      </c>
      <c r="B2069" s="2" t="s">
        <v>650</v>
      </c>
      <c r="C2069" s="2" t="s">
        <v>635</v>
      </c>
      <c r="D2069" s="2" t="s">
        <v>651</v>
      </c>
      <c r="E2069" s="2" t="s">
        <v>169</v>
      </c>
    </row>
    <row r="2070" customFormat="false" ht="15" hidden="false" customHeight="false" outlineLevel="0" collapsed="false">
      <c r="A2070" s="2" t="s">
        <v>281</v>
      </c>
      <c r="B2070" s="2" t="s">
        <v>652</v>
      </c>
      <c r="C2070" s="2" t="s">
        <v>635</v>
      </c>
      <c r="D2070" s="2" t="s">
        <v>653</v>
      </c>
      <c r="E2070" s="2" t="s">
        <v>169</v>
      </c>
    </row>
    <row r="2071" customFormat="false" ht="15" hidden="false" customHeight="false" outlineLevel="0" collapsed="false">
      <c r="A2071" s="2" t="s">
        <v>281</v>
      </c>
      <c r="B2071" s="2" t="s">
        <v>654</v>
      </c>
      <c r="C2071" s="2" t="s">
        <v>635</v>
      </c>
      <c r="D2071" s="2" t="s">
        <v>655</v>
      </c>
      <c r="E2071" s="2" t="s">
        <v>169</v>
      </c>
    </row>
    <row r="2072" customFormat="false" ht="15" hidden="false" customHeight="false" outlineLevel="0" collapsed="false">
      <c r="A2072" s="2" t="s">
        <v>281</v>
      </c>
      <c r="B2072" s="2" t="s">
        <v>656</v>
      </c>
      <c r="C2072" s="2" t="s">
        <v>642</v>
      </c>
      <c r="D2072" s="2" t="s">
        <v>487</v>
      </c>
      <c r="E2072" s="2" t="s">
        <v>166</v>
      </c>
    </row>
    <row r="2073" customFormat="false" ht="15" hidden="false" customHeight="false" outlineLevel="0" collapsed="false">
      <c r="A2073" s="2" t="s">
        <v>281</v>
      </c>
      <c r="B2073" s="2" t="s">
        <v>320</v>
      </c>
      <c r="C2073" s="2" t="s">
        <v>642</v>
      </c>
      <c r="D2073" s="2" t="s">
        <v>579</v>
      </c>
      <c r="E2073" s="2" t="s">
        <v>167</v>
      </c>
    </row>
    <row r="2074" customFormat="false" ht="15" hidden="false" customHeight="false" outlineLevel="0" collapsed="false">
      <c r="A2074" s="2" t="s">
        <v>281</v>
      </c>
      <c r="B2074" s="2" t="s">
        <v>658</v>
      </c>
      <c r="C2074" s="2" t="s">
        <v>642</v>
      </c>
      <c r="D2074" s="2" t="s">
        <v>487</v>
      </c>
      <c r="E2074" s="2" t="s">
        <v>166</v>
      </c>
    </row>
    <row r="2075" customFormat="false" ht="15" hidden="false" customHeight="false" outlineLevel="0" collapsed="false">
      <c r="A2075" s="2" t="s">
        <v>281</v>
      </c>
      <c r="B2075" s="2" t="s">
        <v>324</v>
      </c>
      <c r="C2075" s="2" t="s">
        <v>642</v>
      </c>
      <c r="D2075" s="2" t="s">
        <v>610</v>
      </c>
      <c r="E2075" s="2" t="s">
        <v>166</v>
      </c>
    </row>
    <row r="2076" customFormat="false" ht="15" hidden="false" customHeight="false" outlineLevel="0" collapsed="false">
      <c r="A2076" s="2" t="s">
        <v>281</v>
      </c>
      <c r="B2076" s="2" t="s">
        <v>660</v>
      </c>
      <c r="C2076" s="2" t="s">
        <v>640</v>
      </c>
      <c r="D2076" s="2" t="s">
        <v>355</v>
      </c>
      <c r="E2076" s="2" t="s">
        <v>166</v>
      </c>
    </row>
    <row r="2077" customFormat="false" ht="15" hidden="false" customHeight="false" outlineLevel="0" collapsed="false">
      <c r="A2077" s="2" t="s">
        <v>281</v>
      </c>
      <c r="B2077" s="2" t="s">
        <v>661</v>
      </c>
      <c r="C2077" s="2" t="s">
        <v>641</v>
      </c>
      <c r="D2077" s="2" t="s">
        <v>355</v>
      </c>
      <c r="E2077" s="2" t="s">
        <v>166</v>
      </c>
    </row>
    <row r="2078" customFormat="false" ht="15" hidden="false" customHeight="false" outlineLevel="0" collapsed="false">
      <c r="A2078" s="2" t="s">
        <v>281</v>
      </c>
      <c r="B2078" s="2" t="s">
        <v>662</v>
      </c>
      <c r="C2078" s="2" t="s">
        <v>630</v>
      </c>
      <c r="D2078" s="2" t="s">
        <v>585</v>
      </c>
      <c r="E2078" s="2" t="s">
        <v>167</v>
      </c>
    </row>
    <row r="2079" customFormat="false" ht="15" hidden="false" customHeight="false" outlineLevel="0" collapsed="false">
      <c r="A2079" s="2" t="s">
        <v>281</v>
      </c>
      <c r="B2079" s="2" t="s">
        <v>667</v>
      </c>
      <c r="C2079" s="2" t="s">
        <v>638</v>
      </c>
      <c r="D2079" s="2" t="s">
        <v>668</v>
      </c>
      <c r="E2079" s="2" t="s">
        <v>166</v>
      </c>
    </row>
    <row r="2080" customFormat="false" ht="15" hidden="false" customHeight="false" outlineLevel="0" collapsed="false">
      <c r="A2080" s="2" t="s">
        <v>281</v>
      </c>
      <c r="B2080" s="2" t="s">
        <v>669</v>
      </c>
      <c r="C2080" s="2" t="s">
        <v>636</v>
      </c>
      <c r="D2080" s="2" t="s">
        <v>670</v>
      </c>
      <c r="E2080" s="2" t="s">
        <v>166</v>
      </c>
    </row>
    <row r="2081" customFormat="false" ht="15" hidden="false" customHeight="false" outlineLevel="0" collapsed="false">
      <c r="A2081" s="2" t="s">
        <v>281</v>
      </c>
      <c r="B2081" s="2" t="s">
        <v>671</v>
      </c>
      <c r="C2081" s="2" t="s">
        <v>632</v>
      </c>
      <c r="D2081" s="2" t="s">
        <v>672</v>
      </c>
      <c r="E2081" s="2" t="s">
        <v>166</v>
      </c>
    </row>
    <row r="2082" customFormat="false" ht="15" hidden="false" customHeight="false" outlineLevel="0" collapsed="false">
      <c r="A2082" s="2" t="s">
        <v>281</v>
      </c>
      <c r="B2082" s="2" t="s">
        <v>675</v>
      </c>
      <c r="C2082" s="2" t="s">
        <v>632</v>
      </c>
      <c r="D2082" s="2" t="s">
        <v>523</v>
      </c>
      <c r="E2082" s="2" t="s">
        <v>168</v>
      </c>
    </row>
    <row r="2083" customFormat="false" ht="15" hidden="false" customHeight="false" outlineLevel="0" collapsed="false">
      <c r="A2083" s="2" t="s">
        <v>281</v>
      </c>
      <c r="B2083" s="2" t="s">
        <v>412</v>
      </c>
      <c r="C2083" s="2" t="s">
        <v>632</v>
      </c>
      <c r="D2083" s="2" t="s">
        <v>721</v>
      </c>
      <c r="E2083" s="2" t="s">
        <v>169</v>
      </c>
    </row>
    <row r="2084" customFormat="false" ht="15" hidden="false" customHeight="false" outlineLevel="0" collapsed="false">
      <c r="A2084" s="2" t="s">
        <v>281</v>
      </c>
      <c r="B2084" s="2" t="s">
        <v>693</v>
      </c>
      <c r="C2084" s="2" t="s">
        <v>632</v>
      </c>
      <c r="D2084" s="2" t="s">
        <v>523</v>
      </c>
      <c r="E2084" s="2" t="s">
        <v>170</v>
      </c>
    </row>
    <row r="2085" customFormat="false" ht="15" hidden="false" customHeight="false" outlineLevel="0" collapsed="false">
      <c r="A2085" s="2" t="s">
        <v>281</v>
      </c>
      <c r="B2085" s="2" t="s">
        <v>694</v>
      </c>
      <c r="C2085" s="2" t="s">
        <v>633</v>
      </c>
      <c r="D2085" s="2" t="s">
        <v>677</v>
      </c>
      <c r="E2085" s="2" t="s">
        <v>166</v>
      </c>
    </row>
    <row r="2086" customFormat="false" ht="15" hidden="false" customHeight="false" outlineLevel="0" collapsed="false">
      <c r="A2086" s="2" t="s">
        <v>281</v>
      </c>
      <c r="B2086" s="2" t="s">
        <v>678</v>
      </c>
      <c r="C2086" s="2" t="s">
        <v>634</v>
      </c>
      <c r="D2086" s="2" t="s">
        <v>695</v>
      </c>
      <c r="E2086" s="2" t="s">
        <v>169</v>
      </c>
    </row>
    <row r="2087" customFormat="false" ht="15" hidden="false" customHeight="false" outlineLevel="0" collapsed="false">
      <c r="A2087" s="2" t="s">
        <v>281</v>
      </c>
      <c r="B2087" s="2" t="s">
        <v>680</v>
      </c>
      <c r="C2087" s="2" t="s">
        <v>629</v>
      </c>
      <c r="D2087" s="2" t="s">
        <v>681</v>
      </c>
      <c r="E2087" s="2" t="s">
        <v>169</v>
      </c>
    </row>
    <row r="2088" customFormat="false" ht="15" hidden="false" customHeight="false" outlineLevel="0" collapsed="false">
      <c r="A2088" s="2" t="s">
        <v>281</v>
      </c>
      <c r="B2088" s="2" t="s">
        <v>370</v>
      </c>
      <c r="C2088" s="2" t="s">
        <v>627</v>
      </c>
      <c r="D2088" s="2" t="s">
        <v>682</v>
      </c>
      <c r="E2088" s="2" t="s">
        <v>166</v>
      </c>
    </row>
    <row r="2089" customFormat="false" ht="15" hidden="false" customHeight="false" outlineLevel="0" collapsed="false">
      <c r="A2089" s="2" t="s">
        <v>281</v>
      </c>
      <c r="B2089" s="2" t="s">
        <v>696</v>
      </c>
      <c r="C2089" s="2" t="s">
        <v>627</v>
      </c>
      <c r="D2089" s="2" t="s">
        <v>402</v>
      </c>
      <c r="E2089" s="2" t="s">
        <v>168</v>
      </c>
    </row>
    <row r="2090" customFormat="false" ht="15" hidden="false" customHeight="false" outlineLevel="0" collapsed="false">
      <c r="A2090" s="2" t="s">
        <v>281</v>
      </c>
      <c r="B2090" s="2" t="s">
        <v>697</v>
      </c>
      <c r="C2090" s="2" t="s">
        <v>627</v>
      </c>
      <c r="D2090" s="2" t="s">
        <v>402</v>
      </c>
      <c r="E2090" s="2" t="s">
        <v>168</v>
      </c>
    </row>
    <row r="2091" customFormat="false" ht="15" hidden="false" customHeight="false" outlineLevel="0" collapsed="false">
      <c r="A2091" s="2" t="s">
        <v>281</v>
      </c>
      <c r="B2091" s="2" t="s">
        <v>683</v>
      </c>
      <c r="C2091" s="2" t="s">
        <v>627</v>
      </c>
      <c r="D2091" s="2" t="s">
        <v>402</v>
      </c>
      <c r="E2091" s="2" t="s">
        <v>168</v>
      </c>
    </row>
    <row r="2092" customFormat="false" ht="15" hidden="false" customHeight="false" outlineLevel="0" collapsed="false">
      <c r="A2092" s="2" t="s">
        <v>281</v>
      </c>
      <c r="B2092" s="2" t="s">
        <v>684</v>
      </c>
      <c r="C2092" s="2" t="s">
        <v>627</v>
      </c>
      <c r="D2092" s="2" t="s">
        <v>402</v>
      </c>
      <c r="E2092" s="2" t="s">
        <v>168</v>
      </c>
    </row>
    <row r="2093" customFormat="false" ht="15" hidden="false" customHeight="false" outlineLevel="0" collapsed="false">
      <c r="A2093" s="2" t="s">
        <v>281</v>
      </c>
      <c r="B2093" s="2" t="s">
        <v>410</v>
      </c>
      <c r="C2093" s="2" t="s">
        <v>627</v>
      </c>
      <c r="D2093" s="2" t="s">
        <v>402</v>
      </c>
      <c r="E2093" s="2" t="s">
        <v>168</v>
      </c>
    </row>
    <row r="2094" customFormat="false" ht="15" hidden="false" customHeight="false" outlineLevel="0" collapsed="false">
      <c r="A2094" s="2" t="s">
        <v>281</v>
      </c>
      <c r="B2094" s="2" t="s">
        <v>708</v>
      </c>
      <c r="C2094" s="2" t="s">
        <v>628</v>
      </c>
      <c r="D2094" s="2" t="s">
        <v>687</v>
      </c>
      <c r="E2094" s="2" t="s">
        <v>166</v>
      </c>
    </row>
    <row r="2095" customFormat="false" ht="15" hidden="false" customHeight="false" outlineLevel="0" collapsed="false">
      <c r="A2095" s="2" t="s">
        <v>281</v>
      </c>
      <c r="B2095" s="2" t="s">
        <v>688</v>
      </c>
      <c r="C2095" s="2" t="s">
        <v>645</v>
      </c>
      <c r="D2095" s="2" t="s">
        <v>373</v>
      </c>
      <c r="E2095" s="2" t="s">
        <v>170</v>
      </c>
    </row>
    <row r="2096" customFormat="false" ht="15" hidden="false" customHeight="false" outlineLevel="0" collapsed="false">
      <c r="A2096" s="2" t="s">
        <v>282</v>
      </c>
      <c r="B2096" s="2" t="s">
        <v>649</v>
      </c>
      <c r="C2096" s="2" t="s">
        <v>635</v>
      </c>
      <c r="D2096" s="2" t="s">
        <v>487</v>
      </c>
      <c r="E2096" s="2" t="s">
        <v>166</v>
      </c>
    </row>
    <row r="2097" customFormat="false" ht="15" hidden="false" customHeight="false" outlineLevel="0" collapsed="false">
      <c r="A2097" s="2" t="s">
        <v>282</v>
      </c>
      <c r="B2097" s="2" t="s">
        <v>650</v>
      </c>
      <c r="C2097" s="2" t="s">
        <v>635</v>
      </c>
      <c r="D2097" s="2" t="s">
        <v>651</v>
      </c>
      <c r="E2097" s="2" t="s">
        <v>169</v>
      </c>
    </row>
    <row r="2098" customFormat="false" ht="15" hidden="false" customHeight="false" outlineLevel="0" collapsed="false">
      <c r="A2098" s="2" t="s">
        <v>282</v>
      </c>
      <c r="B2098" s="2" t="s">
        <v>652</v>
      </c>
      <c r="C2098" s="2" t="s">
        <v>635</v>
      </c>
      <c r="D2098" s="2" t="s">
        <v>653</v>
      </c>
      <c r="E2098" s="2" t="s">
        <v>169</v>
      </c>
    </row>
    <row r="2099" customFormat="false" ht="15" hidden="false" customHeight="false" outlineLevel="0" collapsed="false">
      <c r="A2099" s="2" t="s">
        <v>282</v>
      </c>
      <c r="B2099" s="2" t="s">
        <v>654</v>
      </c>
      <c r="C2099" s="2" t="s">
        <v>635</v>
      </c>
      <c r="D2099" s="2" t="s">
        <v>655</v>
      </c>
      <c r="E2099" s="2" t="s">
        <v>169</v>
      </c>
    </row>
    <row r="2100" customFormat="false" ht="15" hidden="false" customHeight="false" outlineLevel="0" collapsed="false">
      <c r="A2100" s="2" t="s">
        <v>282</v>
      </c>
      <c r="B2100" s="2" t="s">
        <v>656</v>
      </c>
      <c r="C2100" s="2" t="s">
        <v>642</v>
      </c>
      <c r="D2100" s="2" t="s">
        <v>487</v>
      </c>
      <c r="E2100" s="2" t="s">
        <v>166</v>
      </c>
    </row>
    <row r="2101" customFormat="false" ht="15" hidden="false" customHeight="false" outlineLevel="0" collapsed="false">
      <c r="A2101" s="2" t="s">
        <v>282</v>
      </c>
      <c r="B2101" s="2" t="s">
        <v>320</v>
      </c>
      <c r="C2101" s="2" t="s">
        <v>642</v>
      </c>
      <c r="D2101" s="2" t="s">
        <v>657</v>
      </c>
      <c r="E2101" s="2" t="s">
        <v>169</v>
      </c>
    </row>
    <row r="2102" customFormat="false" ht="15" hidden="false" customHeight="false" outlineLevel="0" collapsed="false">
      <c r="A2102" s="2" t="s">
        <v>282</v>
      </c>
      <c r="B2102" s="2" t="s">
        <v>658</v>
      </c>
      <c r="C2102" s="2" t="s">
        <v>642</v>
      </c>
      <c r="D2102" s="2" t="s">
        <v>487</v>
      </c>
      <c r="E2102" s="2" t="s">
        <v>166</v>
      </c>
    </row>
    <row r="2103" customFormat="false" ht="15" hidden="false" customHeight="false" outlineLevel="0" collapsed="false">
      <c r="A2103" s="2" t="s">
        <v>282</v>
      </c>
      <c r="B2103" s="2" t="s">
        <v>324</v>
      </c>
      <c r="C2103" s="2" t="s">
        <v>642</v>
      </c>
      <c r="D2103" s="2" t="s">
        <v>659</v>
      </c>
      <c r="E2103" s="2" t="s">
        <v>169</v>
      </c>
    </row>
    <row r="2104" customFormat="false" ht="15" hidden="false" customHeight="false" outlineLevel="0" collapsed="false">
      <c r="A2104" s="2" t="s">
        <v>282</v>
      </c>
      <c r="B2104" s="2" t="s">
        <v>660</v>
      </c>
      <c r="C2104" s="2" t="s">
        <v>640</v>
      </c>
      <c r="D2104" s="2" t="s">
        <v>355</v>
      </c>
      <c r="E2104" s="2" t="s">
        <v>166</v>
      </c>
    </row>
    <row r="2105" customFormat="false" ht="15" hidden="false" customHeight="false" outlineLevel="0" collapsed="false">
      <c r="A2105" s="2" t="s">
        <v>282</v>
      </c>
      <c r="B2105" s="2" t="s">
        <v>661</v>
      </c>
      <c r="C2105" s="2" t="s">
        <v>641</v>
      </c>
      <c r="D2105" s="2" t="s">
        <v>355</v>
      </c>
      <c r="E2105" s="2" t="s">
        <v>166</v>
      </c>
    </row>
    <row r="2106" customFormat="false" ht="15" hidden="false" customHeight="false" outlineLevel="0" collapsed="false">
      <c r="A2106" s="2" t="s">
        <v>282</v>
      </c>
      <c r="B2106" s="2" t="s">
        <v>662</v>
      </c>
      <c r="C2106" s="2" t="s">
        <v>630</v>
      </c>
      <c r="D2106" s="2" t="s">
        <v>585</v>
      </c>
      <c r="E2106" s="2" t="s">
        <v>167</v>
      </c>
    </row>
    <row r="2107" customFormat="false" ht="15" hidden="false" customHeight="false" outlineLevel="0" collapsed="false">
      <c r="A2107" s="2" t="s">
        <v>282</v>
      </c>
      <c r="B2107" s="2" t="s">
        <v>663</v>
      </c>
      <c r="C2107" s="2" t="s">
        <v>631</v>
      </c>
      <c r="D2107" s="2" t="s">
        <v>698</v>
      </c>
      <c r="E2107" s="2" t="s">
        <v>166</v>
      </c>
    </row>
    <row r="2108" customFormat="false" ht="15" hidden="false" customHeight="false" outlineLevel="0" collapsed="false">
      <c r="A2108" s="2" t="s">
        <v>282</v>
      </c>
      <c r="B2108" s="2" t="s">
        <v>665</v>
      </c>
      <c r="C2108" s="2" t="s">
        <v>631</v>
      </c>
      <c r="D2108" s="2" t="s">
        <v>699</v>
      </c>
      <c r="E2108" s="2" t="s">
        <v>169</v>
      </c>
    </row>
    <row r="2109" customFormat="false" ht="15" hidden="false" customHeight="false" outlineLevel="0" collapsed="false">
      <c r="A2109" s="2" t="s">
        <v>282</v>
      </c>
      <c r="B2109" s="2" t="s">
        <v>667</v>
      </c>
      <c r="C2109" s="2" t="s">
        <v>638</v>
      </c>
      <c r="D2109" s="2" t="s">
        <v>668</v>
      </c>
      <c r="E2109" s="2" t="s">
        <v>166</v>
      </c>
    </row>
    <row r="2110" customFormat="false" ht="15" hidden="false" customHeight="false" outlineLevel="0" collapsed="false">
      <c r="A2110" s="2" t="s">
        <v>282</v>
      </c>
      <c r="B2110" s="2" t="s">
        <v>669</v>
      </c>
      <c r="C2110" s="2" t="s">
        <v>636</v>
      </c>
      <c r="D2110" s="2" t="s">
        <v>670</v>
      </c>
      <c r="E2110" s="2" t="s">
        <v>166</v>
      </c>
    </row>
    <row r="2111" customFormat="false" ht="15" hidden="false" customHeight="false" outlineLevel="0" collapsed="false">
      <c r="A2111" s="2" t="s">
        <v>282</v>
      </c>
      <c r="B2111" s="2" t="s">
        <v>671</v>
      </c>
      <c r="C2111" s="2" t="s">
        <v>632</v>
      </c>
      <c r="D2111" s="2" t="s">
        <v>672</v>
      </c>
      <c r="E2111" s="2" t="s">
        <v>166</v>
      </c>
    </row>
    <row r="2112" customFormat="false" ht="15" hidden="false" customHeight="false" outlineLevel="0" collapsed="false">
      <c r="A2112" s="2" t="s">
        <v>282</v>
      </c>
      <c r="B2112" s="2" t="s">
        <v>675</v>
      </c>
      <c r="C2112" s="2" t="s">
        <v>632</v>
      </c>
      <c r="D2112" s="2" t="s">
        <v>523</v>
      </c>
      <c r="E2112" s="2" t="s">
        <v>168</v>
      </c>
    </row>
    <row r="2113" customFormat="false" ht="15" hidden="false" customHeight="false" outlineLevel="0" collapsed="false">
      <c r="A2113" s="2" t="s">
        <v>282</v>
      </c>
      <c r="B2113" s="2" t="s">
        <v>412</v>
      </c>
      <c r="C2113" s="2" t="s">
        <v>632</v>
      </c>
      <c r="D2113" s="2" t="s">
        <v>523</v>
      </c>
      <c r="E2113" s="2" t="s">
        <v>168</v>
      </c>
    </row>
    <row r="2114" customFormat="false" ht="15" hidden="false" customHeight="false" outlineLevel="0" collapsed="false">
      <c r="A2114" s="2" t="s">
        <v>282</v>
      </c>
      <c r="B2114" s="2" t="s">
        <v>693</v>
      </c>
      <c r="C2114" s="2" t="s">
        <v>632</v>
      </c>
      <c r="D2114" s="2" t="s">
        <v>523</v>
      </c>
      <c r="E2114" s="2" t="s">
        <v>170</v>
      </c>
    </row>
    <row r="2115" customFormat="false" ht="15" hidden="false" customHeight="false" outlineLevel="0" collapsed="false">
      <c r="A2115" s="2" t="s">
        <v>282</v>
      </c>
      <c r="B2115" s="2" t="s">
        <v>694</v>
      </c>
      <c r="C2115" s="2" t="s">
        <v>633</v>
      </c>
      <c r="D2115" s="2" t="s">
        <v>677</v>
      </c>
      <c r="E2115" s="2" t="s">
        <v>166</v>
      </c>
    </row>
    <row r="2116" customFormat="false" ht="15" hidden="false" customHeight="false" outlineLevel="0" collapsed="false">
      <c r="A2116" s="2" t="s">
        <v>282</v>
      </c>
      <c r="B2116" s="2" t="s">
        <v>678</v>
      </c>
      <c r="C2116" s="2" t="s">
        <v>634</v>
      </c>
      <c r="D2116" s="2" t="s">
        <v>695</v>
      </c>
      <c r="E2116" s="2" t="s">
        <v>169</v>
      </c>
    </row>
    <row r="2117" customFormat="false" ht="15" hidden="false" customHeight="false" outlineLevel="0" collapsed="false">
      <c r="A2117" s="2" t="s">
        <v>282</v>
      </c>
      <c r="B2117" s="2" t="s">
        <v>680</v>
      </c>
      <c r="C2117" s="2" t="s">
        <v>629</v>
      </c>
      <c r="D2117" s="2" t="s">
        <v>703</v>
      </c>
      <c r="E2117" s="2" t="s">
        <v>166</v>
      </c>
    </row>
    <row r="2118" customFormat="false" ht="15" hidden="false" customHeight="false" outlineLevel="0" collapsed="false">
      <c r="A2118" s="2" t="s">
        <v>282</v>
      </c>
      <c r="B2118" s="2" t="s">
        <v>370</v>
      </c>
      <c r="C2118" s="2" t="s">
        <v>627</v>
      </c>
      <c r="D2118" s="2" t="s">
        <v>682</v>
      </c>
      <c r="E2118" s="2" t="s">
        <v>166</v>
      </c>
    </row>
    <row r="2119" customFormat="false" ht="15" hidden="false" customHeight="false" outlineLevel="0" collapsed="false">
      <c r="A2119" s="2" t="s">
        <v>282</v>
      </c>
      <c r="B2119" s="2" t="s">
        <v>683</v>
      </c>
      <c r="C2119" s="2" t="s">
        <v>627</v>
      </c>
      <c r="D2119" s="2" t="s">
        <v>402</v>
      </c>
      <c r="E2119" s="2" t="s">
        <v>168</v>
      </c>
    </row>
    <row r="2120" customFormat="false" ht="15" hidden="false" customHeight="false" outlineLevel="0" collapsed="false">
      <c r="A2120" s="2" t="s">
        <v>282</v>
      </c>
      <c r="B2120" s="2" t="s">
        <v>684</v>
      </c>
      <c r="C2120" s="2" t="s">
        <v>627</v>
      </c>
      <c r="D2120" s="2" t="s">
        <v>402</v>
      </c>
      <c r="E2120" s="2" t="s">
        <v>168</v>
      </c>
    </row>
    <row r="2121" customFormat="false" ht="15" hidden="false" customHeight="false" outlineLevel="0" collapsed="false">
      <c r="A2121" s="2" t="s">
        <v>282</v>
      </c>
      <c r="B2121" s="2" t="s">
        <v>410</v>
      </c>
      <c r="C2121" s="2" t="s">
        <v>627</v>
      </c>
      <c r="D2121" s="2" t="s">
        <v>402</v>
      </c>
      <c r="E2121" s="2" t="s">
        <v>168</v>
      </c>
    </row>
    <row r="2122" customFormat="false" ht="15" hidden="false" customHeight="false" outlineLevel="0" collapsed="false">
      <c r="A2122" s="2" t="s">
        <v>282</v>
      </c>
      <c r="B2122" s="2" t="s">
        <v>685</v>
      </c>
      <c r="C2122" s="2" t="s">
        <v>627</v>
      </c>
      <c r="D2122" s="2" t="s">
        <v>402</v>
      </c>
      <c r="E2122" s="2" t="s">
        <v>170</v>
      </c>
    </row>
    <row r="2123" customFormat="false" ht="15" hidden="false" customHeight="false" outlineLevel="0" collapsed="false">
      <c r="A2123" s="2" t="s">
        <v>282</v>
      </c>
      <c r="B2123" s="2" t="s">
        <v>686</v>
      </c>
      <c r="C2123" s="2" t="s">
        <v>628</v>
      </c>
      <c r="D2123" s="2" t="s">
        <v>687</v>
      </c>
      <c r="E2123" s="2" t="s">
        <v>166</v>
      </c>
    </row>
    <row r="2124" customFormat="false" ht="15" hidden="false" customHeight="false" outlineLevel="0" collapsed="false">
      <c r="A2124" s="2" t="s">
        <v>282</v>
      </c>
      <c r="B2124" s="2" t="s">
        <v>705</v>
      </c>
      <c r="C2124" s="2" t="s">
        <v>639</v>
      </c>
      <c r="D2124" s="2" t="s">
        <v>598</v>
      </c>
      <c r="E2124" s="2" t="s">
        <v>170</v>
      </c>
    </row>
    <row r="2125" customFormat="false" ht="15" hidden="false" customHeight="false" outlineLevel="0" collapsed="false">
      <c r="A2125" s="2" t="s">
        <v>282</v>
      </c>
      <c r="B2125" s="2" t="s">
        <v>705</v>
      </c>
      <c r="C2125" s="2" t="s">
        <v>639</v>
      </c>
      <c r="D2125" s="2" t="s">
        <v>598</v>
      </c>
      <c r="E2125" s="2" t="s">
        <v>170</v>
      </c>
    </row>
    <row r="2126" customFormat="false" ht="15" hidden="false" customHeight="false" outlineLevel="0" collapsed="false">
      <c r="A2126" s="2" t="s">
        <v>282</v>
      </c>
      <c r="B2126" s="2" t="s">
        <v>688</v>
      </c>
      <c r="C2126" s="2" t="s">
        <v>645</v>
      </c>
      <c r="D2126" s="2" t="s">
        <v>373</v>
      </c>
      <c r="E2126" s="2" t="s">
        <v>170</v>
      </c>
    </row>
    <row r="2127" customFormat="false" ht="15" hidden="false" customHeight="false" outlineLevel="0" collapsed="false">
      <c r="A2127" s="2" t="s">
        <v>282</v>
      </c>
      <c r="B2127" s="2" t="s">
        <v>709</v>
      </c>
      <c r="C2127" s="2" t="s">
        <v>645</v>
      </c>
      <c r="D2127" s="2" t="s">
        <v>710</v>
      </c>
      <c r="E2127" s="2" t="s">
        <v>167</v>
      </c>
    </row>
    <row r="2128" customFormat="false" ht="15" hidden="false" customHeight="false" outlineLevel="0" collapsed="false">
      <c r="A2128" s="2" t="s">
        <v>283</v>
      </c>
      <c r="B2128" s="2" t="s">
        <v>649</v>
      </c>
      <c r="C2128" s="2" t="s">
        <v>635</v>
      </c>
      <c r="D2128" s="2" t="s">
        <v>487</v>
      </c>
      <c r="E2128" s="2" t="s">
        <v>166</v>
      </c>
    </row>
    <row r="2129" customFormat="false" ht="15" hidden="false" customHeight="false" outlineLevel="0" collapsed="false">
      <c r="A2129" s="2" t="s">
        <v>283</v>
      </c>
      <c r="B2129" s="2" t="s">
        <v>650</v>
      </c>
      <c r="C2129" s="2" t="s">
        <v>635</v>
      </c>
      <c r="D2129" s="2" t="s">
        <v>651</v>
      </c>
      <c r="E2129" s="2" t="s">
        <v>169</v>
      </c>
    </row>
    <row r="2130" customFormat="false" ht="15" hidden="false" customHeight="false" outlineLevel="0" collapsed="false">
      <c r="A2130" s="2" t="s">
        <v>283</v>
      </c>
      <c r="B2130" s="2" t="s">
        <v>652</v>
      </c>
      <c r="C2130" s="2" t="s">
        <v>635</v>
      </c>
      <c r="D2130" s="2" t="s">
        <v>653</v>
      </c>
      <c r="E2130" s="2" t="s">
        <v>169</v>
      </c>
    </row>
    <row r="2131" customFormat="false" ht="15" hidden="false" customHeight="false" outlineLevel="0" collapsed="false">
      <c r="A2131" s="2" t="s">
        <v>283</v>
      </c>
      <c r="B2131" s="2" t="s">
        <v>654</v>
      </c>
      <c r="C2131" s="2" t="s">
        <v>635</v>
      </c>
      <c r="D2131" s="2" t="s">
        <v>655</v>
      </c>
      <c r="E2131" s="2" t="s">
        <v>169</v>
      </c>
    </row>
    <row r="2132" customFormat="false" ht="15" hidden="false" customHeight="false" outlineLevel="0" collapsed="false">
      <c r="A2132" s="2" t="s">
        <v>283</v>
      </c>
      <c r="B2132" s="2" t="s">
        <v>656</v>
      </c>
      <c r="C2132" s="2" t="s">
        <v>642</v>
      </c>
      <c r="D2132" s="2" t="s">
        <v>487</v>
      </c>
      <c r="E2132" s="2" t="s">
        <v>166</v>
      </c>
    </row>
    <row r="2133" customFormat="false" ht="15" hidden="false" customHeight="false" outlineLevel="0" collapsed="false">
      <c r="A2133" s="2" t="s">
        <v>283</v>
      </c>
      <c r="B2133" s="2" t="s">
        <v>320</v>
      </c>
      <c r="C2133" s="2" t="s">
        <v>642</v>
      </c>
      <c r="D2133" s="2" t="s">
        <v>579</v>
      </c>
      <c r="E2133" s="2" t="s">
        <v>167</v>
      </c>
    </row>
    <row r="2134" customFormat="false" ht="15" hidden="false" customHeight="false" outlineLevel="0" collapsed="false">
      <c r="A2134" s="2" t="s">
        <v>283</v>
      </c>
      <c r="B2134" s="2" t="s">
        <v>658</v>
      </c>
      <c r="C2134" s="2" t="s">
        <v>642</v>
      </c>
      <c r="D2134" s="2" t="s">
        <v>487</v>
      </c>
      <c r="E2134" s="2" t="s">
        <v>166</v>
      </c>
    </row>
    <row r="2135" customFormat="false" ht="15" hidden="false" customHeight="false" outlineLevel="0" collapsed="false">
      <c r="A2135" s="2" t="s">
        <v>283</v>
      </c>
      <c r="B2135" s="2" t="s">
        <v>324</v>
      </c>
      <c r="C2135" s="2" t="s">
        <v>642</v>
      </c>
      <c r="D2135" s="2" t="s">
        <v>659</v>
      </c>
      <c r="E2135" s="2" t="s">
        <v>169</v>
      </c>
    </row>
    <row r="2136" customFormat="false" ht="15" hidden="false" customHeight="false" outlineLevel="0" collapsed="false">
      <c r="A2136" s="2" t="s">
        <v>283</v>
      </c>
      <c r="B2136" s="2" t="s">
        <v>704</v>
      </c>
      <c r="C2136" s="2" t="s">
        <v>643</v>
      </c>
      <c r="D2136" s="2" t="s">
        <v>494</v>
      </c>
      <c r="E2136" s="2" t="s">
        <v>167</v>
      </c>
    </row>
    <row r="2137" customFormat="false" ht="15" hidden="false" customHeight="false" outlineLevel="0" collapsed="false">
      <c r="A2137" s="2" t="s">
        <v>283</v>
      </c>
      <c r="B2137" s="2" t="s">
        <v>660</v>
      </c>
      <c r="C2137" s="2" t="s">
        <v>640</v>
      </c>
      <c r="D2137" s="2" t="s">
        <v>355</v>
      </c>
      <c r="E2137" s="2" t="s">
        <v>166</v>
      </c>
    </row>
    <row r="2138" customFormat="false" ht="15" hidden="false" customHeight="false" outlineLevel="0" collapsed="false">
      <c r="A2138" s="2" t="s">
        <v>283</v>
      </c>
      <c r="B2138" s="2" t="s">
        <v>661</v>
      </c>
      <c r="C2138" s="2" t="s">
        <v>641</v>
      </c>
      <c r="D2138" s="2" t="s">
        <v>355</v>
      </c>
      <c r="E2138" s="2" t="s">
        <v>166</v>
      </c>
    </row>
    <row r="2139" customFormat="false" ht="15" hidden="false" customHeight="false" outlineLevel="0" collapsed="false">
      <c r="A2139" s="2" t="s">
        <v>283</v>
      </c>
      <c r="B2139" s="2" t="s">
        <v>662</v>
      </c>
      <c r="C2139" s="2" t="s">
        <v>630</v>
      </c>
      <c r="D2139" s="2" t="s">
        <v>585</v>
      </c>
      <c r="E2139" s="2" t="s">
        <v>167</v>
      </c>
    </row>
    <row r="2140" customFormat="false" ht="15" hidden="false" customHeight="false" outlineLevel="0" collapsed="false">
      <c r="A2140" s="2" t="s">
        <v>283</v>
      </c>
      <c r="B2140" s="2" t="s">
        <v>667</v>
      </c>
      <c r="C2140" s="2" t="s">
        <v>638</v>
      </c>
      <c r="D2140" s="2" t="s">
        <v>668</v>
      </c>
      <c r="E2140" s="2" t="s">
        <v>166</v>
      </c>
    </row>
    <row r="2141" customFormat="false" ht="15" hidden="false" customHeight="false" outlineLevel="0" collapsed="false">
      <c r="A2141" s="2" t="s">
        <v>283</v>
      </c>
      <c r="B2141" s="2" t="s">
        <v>669</v>
      </c>
      <c r="C2141" s="2" t="s">
        <v>636</v>
      </c>
      <c r="D2141" s="2" t="s">
        <v>670</v>
      </c>
      <c r="E2141" s="2" t="s">
        <v>166</v>
      </c>
    </row>
    <row r="2142" customFormat="false" ht="15" hidden="false" customHeight="false" outlineLevel="0" collapsed="false">
      <c r="A2142" s="2" t="s">
        <v>283</v>
      </c>
      <c r="B2142" s="2" t="s">
        <v>671</v>
      </c>
      <c r="C2142" s="2" t="s">
        <v>632</v>
      </c>
      <c r="D2142" s="2" t="s">
        <v>672</v>
      </c>
      <c r="E2142" s="2" t="s">
        <v>166</v>
      </c>
    </row>
    <row r="2143" customFormat="false" ht="15" hidden="false" customHeight="false" outlineLevel="0" collapsed="false">
      <c r="A2143" s="2" t="s">
        <v>283</v>
      </c>
      <c r="B2143" s="2" t="s">
        <v>673</v>
      </c>
      <c r="C2143" s="2" t="s">
        <v>632</v>
      </c>
      <c r="D2143" s="2" t="s">
        <v>523</v>
      </c>
      <c r="E2143" s="2" t="s">
        <v>168</v>
      </c>
    </row>
    <row r="2144" customFormat="false" ht="15" hidden="false" customHeight="false" outlineLevel="0" collapsed="false">
      <c r="A2144" s="2" t="s">
        <v>283</v>
      </c>
      <c r="B2144" s="2" t="s">
        <v>674</v>
      </c>
      <c r="C2144" s="2" t="s">
        <v>632</v>
      </c>
      <c r="D2144" s="2" t="s">
        <v>523</v>
      </c>
      <c r="E2144" s="2" t="s">
        <v>168</v>
      </c>
    </row>
    <row r="2145" customFormat="false" ht="15" hidden="false" customHeight="false" outlineLevel="0" collapsed="false">
      <c r="A2145" s="2" t="s">
        <v>283</v>
      </c>
      <c r="B2145" s="2" t="s">
        <v>692</v>
      </c>
      <c r="C2145" s="2" t="s">
        <v>632</v>
      </c>
      <c r="D2145" s="2" t="s">
        <v>523</v>
      </c>
      <c r="E2145" s="2" t="s">
        <v>168</v>
      </c>
    </row>
    <row r="2146" customFormat="false" ht="15" hidden="false" customHeight="false" outlineLevel="0" collapsed="false">
      <c r="A2146" s="2" t="s">
        <v>283</v>
      </c>
      <c r="B2146" s="2" t="s">
        <v>675</v>
      </c>
      <c r="C2146" s="2" t="s">
        <v>632</v>
      </c>
      <c r="D2146" s="2" t="s">
        <v>523</v>
      </c>
      <c r="E2146" s="2" t="s">
        <v>168</v>
      </c>
    </row>
    <row r="2147" customFormat="false" ht="15" hidden="false" customHeight="false" outlineLevel="0" collapsed="false">
      <c r="A2147" s="2" t="s">
        <v>283</v>
      </c>
      <c r="B2147" s="2" t="s">
        <v>702</v>
      </c>
      <c r="C2147" s="2" t="s">
        <v>632</v>
      </c>
      <c r="D2147" s="2" t="s">
        <v>523</v>
      </c>
      <c r="E2147" s="2" t="s">
        <v>168</v>
      </c>
    </row>
    <row r="2148" customFormat="false" ht="15" hidden="false" customHeight="false" outlineLevel="0" collapsed="false">
      <c r="A2148" s="2" t="s">
        <v>283</v>
      </c>
      <c r="B2148" s="2" t="s">
        <v>412</v>
      </c>
      <c r="C2148" s="2" t="s">
        <v>632</v>
      </c>
      <c r="D2148" s="2" t="s">
        <v>523</v>
      </c>
      <c r="E2148" s="2" t="s">
        <v>168</v>
      </c>
    </row>
    <row r="2149" customFormat="false" ht="15" hidden="false" customHeight="false" outlineLevel="0" collapsed="false">
      <c r="A2149" s="2" t="s">
        <v>283</v>
      </c>
      <c r="B2149" s="2" t="s">
        <v>676</v>
      </c>
      <c r="C2149" s="2" t="s">
        <v>633</v>
      </c>
      <c r="D2149" s="2" t="s">
        <v>677</v>
      </c>
      <c r="E2149" s="2" t="s">
        <v>166</v>
      </c>
    </row>
    <row r="2150" customFormat="false" ht="15" hidden="false" customHeight="false" outlineLevel="0" collapsed="false">
      <c r="A2150" s="2" t="s">
        <v>283</v>
      </c>
      <c r="B2150" s="2" t="s">
        <v>678</v>
      </c>
      <c r="C2150" s="2" t="s">
        <v>634</v>
      </c>
      <c r="D2150" s="2" t="s">
        <v>695</v>
      </c>
      <c r="E2150" s="2" t="s">
        <v>169</v>
      </c>
    </row>
    <row r="2151" customFormat="false" ht="15" hidden="false" customHeight="false" outlineLevel="0" collapsed="false">
      <c r="A2151" s="2" t="s">
        <v>283</v>
      </c>
      <c r="B2151" s="2" t="s">
        <v>680</v>
      </c>
      <c r="C2151" s="2" t="s">
        <v>629</v>
      </c>
      <c r="D2151" s="2" t="s">
        <v>681</v>
      </c>
      <c r="E2151" s="2" t="s">
        <v>169</v>
      </c>
    </row>
    <row r="2152" customFormat="false" ht="15" hidden="false" customHeight="false" outlineLevel="0" collapsed="false">
      <c r="A2152" s="2" t="s">
        <v>283</v>
      </c>
      <c r="B2152" s="2" t="s">
        <v>370</v>
      </c>
      <c r="C2152" s="2" t="s">
        <v>627</v>
      </c>
      <c r="D2152" s="2" t="s">
        <v>682</v>
      </c>
      <c r="E2152" s="2" t="s">
        <v>166</v>
      </c>
    </row>
    <row r="2153" customFormat="false" ht="15" hidden="false" customHeight="false" outlineLevel="0" collapsed="false">
      <c r="A2153" s="2" t="s">
        <v>283</v>
      </c>
      <c r="B2153" s="2" t="s">
        <v>683</v>
      </c>
      <c r="C2153" s="2" t="s">
        <v>627</v>
      </c>
      <c r="D2153" s="2" t="s">
        <v>402</v>
      </c>
      <c r="E2153" s="2" t="s">
        <v>168</v>
      </c>
    </row>
    <row r="2154" customFormat="false" ht="15" hidden="false" customHeight="false" outlineLevel="0" collapsed="false">
      <c r="A2154" s="2" t="s">
        <v>283</v>
      </c>
      <c r="B2154" s="2" t="s">
        <v>684</v>
      </c>
      <c r="C2154" s="2" t="s">
        <v>627</v>
      </c>
      <c r="D2154" s="2" t="s">
        <v>402</v>
      </c>
      <c r="E2154" s="2" t="s">
        <v>168</v>
      </c>
    </row>
    <row r="2155" customFormat="false" ht="15" hidden="false" customHeight="false" outlineLevel="0" collapsed="false">
      <c r="A2155" s="2" t="s">
        <v>283</v>
      </c>
      <c r="B2155" s="2" t="s">
        <v>410</v>
      </c>
      <c r="C2155" s="2" t="s">
        <v>627</v>
      </c>
      <c r="D2155" s="2" t="s">
        <v>402</v>
      </c>
      <c r="E2155" s="2" t="s">
        <v>168</v>
      </c>
    </row>
    <row r="2156" customFormat="false" ht="15" hidden="false" customHeight="false" outlineLevel="0" collapsed="false">
      <c r="A2156" s="2" t="s">
        <v>283</v>
      </c>
      <c r="B2156" s="2" t="s">
        <v>685</v>
      </c>
      <c r="C2156" s="2" t="s">
        <v>627</v>
      </c>
      <c r="D2156" s="2" t="s">
        <v>402</v>
      </c>
      <c r="E2156" s="2" t="s">
        <v>170</v>
      </c>
    </row>
    <row r="2157" customFormat="false" ht="15" hidden="false" customHeight="false" outlineLevel="0" collapsed="false">
      <c r="A2157" s="2" t="s">
        <v>283</v>
      </c>
      <c r="B2157" s="2" t="s">
        <v>686</v>
      </c>
      <c r="C2157" s="2" t="s">
        <v>628</v>
      </c>
      <c r="D2157" s="2" t="s">
        <v>687</v>
      </c>
      <c r="E2157" s="2" t="s">
        <v>166</v>
      </c>
    </row>
    <row r="2158" customFormat="false" ht="15" hidden="false" customHeight="false" outlineLevel="0" collapsed="false">
      <c r="A2158" s="2" t="s">
        <v>283</v>
      </c>
      <c r="B2158" s="2" t="s">
        <v>705</v>
      </c>
      <c r="C2158" s="2" t="s">
        <v>639</v>
      </c>
      <c r="D2158" s="2" t="s">
        <v>598</v>
      </c>
      <c r="E2158" s="2" t="s">
        <v>170</v>
      </c>
    </row>
    <row r="2159" customFormat="false" ht="15" hidden="false" customHeight="false" outlineLevel="0" collapsed="false">
      <c r="A2159" s="2" t="s">
        <v>283</v>
      </c>
      <c r="B2159" s="2" t="s">
        <v>705</v>
      </c>
      <c r="C2159" s="2" t="s">
        <v>639</v>
      </c>
      <c r="D2159" s="2" t="s">
        <v>598</v>
      </c>
      <c r="E2159" s="2" t="s">
        <v>170</v>
      </c>
    </row>
    <row r="2160" customFormat="false" ht="15" hidden="false" customHeight="false" outlineLevel="0" collapsed="false">
      <c r="A2160" s="2" t="s">
        <v>283</v>
      </c>
      <c r="B2160" s="2" t="s">
        <v>688</v>
      </c>
      <c r="C2160" s="2" t="s">
        <v>645</v>
      </c>
      <c r="D2160" s="2" t="s">
        <v>373</v>
      </c>
      <c r="E2160" s="2" t="s">
        <v>170</v>
      </c>
    </row>
    <row r="2161" customFormat="false" ht="15" hidden="false" customHeight="false" outlineLevel="0" collapsed="false">
      <c r="A2161" s="2" t="s">
        <v>283</v>
      </c>
      <c r="B2161" s="2" t="s">
        <v>689</v>
      </c>
      <c r="C2161" s="2" t="s">
        <v>645</v>
      </c>
      <c r="D2161" s="2" t="s">
        <v>690</v>
      </c>
      <c r="E2161" s="2" t="s">
        <v>167</v>
      </c>
    </row>
    <row r="2162" customFormat="false" ht="15" hidden="false" customHeight="false" outlineLevel="0" collapsed="false">
      <c r="A2162" s="2" t="s">
        <v>283</v>
      </c>
      <c r="B2162" s="2" t="s">
        <v>691</v>
      </c>
      <c r="C2162" s="2" t="s">
        <v>645</v>
      </c>
      <c r="D2162" s="2" t="s">
        <v>690</v>
      </c>
      <c r="E2162" s="2" t="s">
        <v>167</v>
      </c>
    </row>
    <row r="2163" customFormat="false" ht="15" hidden="false" customHeight="false" outlineLevel="0" collapsed="false">
      <c r="A2163" s="2" t="s">
        <v>284</v>
      </c>
      <c r="B2163" s="2" t="s">
        <v>649</v>
      </c>
      <c r="C2163" s="2" t="s">
        <v>635</v>
      </c>
      <c r="D2163" s="2" t="s">
        <v>487</v>
      </c>
      <c r="E2163" s="2" t="s">
        <v>166</v>
      </c>
    </row>
    <row r="2164" customFormat="false" ht="15" hidden="false" customHeight="false" outlineLevel="0" collapsed="false">
      <c r="A2164" s="2" t="s">
        <v>284</v>
      </c>
      <c r="B2164" s="2" t="s">
        <v>650</v>
      </c>
      <c r="C2164" s="2" t="s">
        <v>635</v>
      </c>
      <c r="D2164" s="2" t="s">
        <v>651</v>
      </c>
      <c r="E2164" s="2" t="s">
        <v>169</v>
      </c>
    </row>
    <row r="2165" customFormat="false" ht="15" hidden="false" customHeight="false" outlineLevel="0" collapsed="false">
      <c r="A2165" s="2" t="s">
        <v>284</v>
      </c>
      <c r="B2165" s="2" t="s">
        <v>652</v>
      </c>
      <c r="C2165" s="2" t="s">
        <v>635</v>
      </c>
      <c r="D2165" s="2" t="s">
        <v>653</v>
      </c>
      <c r="E2165" s="2" t="s">
        <v>169</v>
      </c>
    </row>
    <row r="2166" customFormat="false" ht="15" hidden="false" customHeight="false" outlineLevel="0" collapsed="false">
      <c r="A2166" s="2" t="s">
        <v>284</v>
      </c>
      <c r="B2166" s="2" t="s">
        <v>654</v>
      </c>
      <c r="C2166" s="2" t="s">
        <v>635</v>
      </c>
      <c r="D2166" s="2" t="s">
        <v>655</v>
      </c>
      <c r="E2166" s="2" t="s">
        <v>169</v>
      </c>
    </row>
    <row r="2167" customFormat="false" ht="15" hidden="false" customHeight="false" outlineLevel="0" collapsed="false">
      <c r="A2167" s="2" t="s">
        <v>284</v>
      </c>
      <c r="B2167" s="2" t="s">
        <v>706</v>
      </c>
      <c r="C2167" s="2" t="s">
        <v>635</v>
      </c>
      <c r="D2167" s="2" t="s">
        <v>548</v>
      </c>
      <c r="E2167" s="2" t="s">
        <v>166</v>
      </c>
    </row>
    <row r="2168" customFormat="false" ht="15" hidden="false" customHeight="false" outlineLevel="0" collapsed="false">
      <c r="A2168" s="2" t="s">
        <v>284</v>
      </c>
      <c r="B2168" s="2" t="s">
        <v>656</v>
      </c>
      <c r="C2168" s="2" t="s">
        <v>642</v>
      </c>
      <c r="D2168" s="2" t="s">
        <v>487</v>
      </c>
      <c r="E2168" s="2" t="s">
        <v>166</v>
      </c>
    </row>
    <row r="2169" customFormat="false" ht="15" hidden="false" customHeight="false" outlineLevel="0" collapsed="false">
      <c r="A2169" s="2" t="s">
        <v>284</v>
      </c>
      <c r="B2169" s="2" t="s">
        <v>320</v>
      </c>
      <c r="C2169" s="2" t="s">
        <v>642</v>
      </c>
      <c r="D2169" s="2" t="s">
        <v>657</v>
      </c>
      <c r="E2169" s="2" t="s">
        <v>169</v>
      </c>
    </row>
    <row r="2170" customFormat="false" ht="15" hidden="false" customHeight="false" outlineLevel="0" collapsed="false">
      <c r="A2170" s="2" t="s">
        <v>284</v>
      </c>
      <c r="B2170" s="2" t="s">
        <v>658</v>
      </c>
      <c r="C2170" s="2" t="s">
        <v>642</v>
      </c>
      <c r="D2170" s="2" t="s">
        <v>487</v>
      </c>
      <c r="E2170" s="2" t="s">
        <v>166</v>
      </c>
    </row>
    <row r="2171" customFormat="false" ht="15" hidden="false" customHeight="false" outlineLevel="0" collapsed="false">
      <c r="A2171" s="2" t="s">
        <v>284</v>
      </c>
      <c r="B2171" s="2" t="s">
        <v>324</v>
      </c>
      <c r="C2171" s="2" t="s">
        <v>642</v>
      </c>
      <c r="D2171" s="2" t="s">
        <v>610</v>
      </c>
      <c r="E2171" s="2" t="s">
        <v>166</v>
      </c>
    </row>
    <row r="2172" customFormat="false" ht="15" hidden="false" customHeight="false" outlineLevel="0" collapsed="false">
      <c r="A2172" s="2" t="s">
        <v>284</v>
      </c>
      <c r="B2172" s="2" t="s">
        <v>660</v>
      </c>
      <c r="C2172" s="2" t="s">
        <v>640</v>
      </c>
      <c r="D2172" s="2" t="s">
        <v>355</v>
      </c>
      <c r="E2172" s="2" t="s">
        <v>166</v>
      </c>
    </row>
    <row r="2173" customFormat="false" ht="15" hidden="false" customHeight="false" outlineLevel="0" collapsed="false">
      <c r="A2173" s="2" t="s">
        <v>284</v>
      </c>
      <c r="B2173" s="2" t="s">
        <v>661</v>
      </c>
      <c r="C2173" s="2" t="s">
        <v>641</v>
      </c>
      <c r="D2173" s="2" t="s">
        <v>355</v>
      </c>
      <c r="E2173" s="2" t="s">
        <v>166</v>
      </c>
    </row>
    <row r="2174" customFormat="false" ht="15" hidden="false" customHeight="false" outlineLevel="0" collapsed="false">
      <c r="A2174" s="2" t="s">
        <v>284</v>
      </c>
      <c r="B2174" s="2" t="s">
        <v>662</v>
      </c>
      <c r="C2174" s="2" t="s">
        <v>630</v>
      </c>
      <c r="D2174" s="2" t="s">
        <v>585</v>
      </c>
      <c r="E2174" s="2" t="s">
        <v>167</v>
      </c>
    </row>
    <row r="2175" customFormat="false" ht="15" hidden="false" customHeight="false" outlineLevel="0" collapsed="false">
      <c r="A2175" s="2" t="s">
        <v>284</v>
      </c>
      <c r="B2175" s="2" t="s">
        <v>667</v>
      </c>
      <c r="C2175" s="2" t="s">
        <v>638</v>
      </c>
      <c r="D2175" s="2" t="s">
        <v>668</v>
      </c>
      <c r="E2175" s="2" t="s">
        <v>166</v>
      </c>
    </row>
    <row r="2176" customFormat="false" ht="15" hidden="false" customHeight="false" outlineLevel="0" collapsed="false">
      <c r="A2176" s="2" t="s">
        <v>284</v>
      </c>
      <c r="B2176" s="2" t="s">
        <v>669</v>
      </c>
      <c r="C2176" s="2" t="s">
        <v>636</v>
      </c>
      <c r="D2176" s="2" t="s">
        <v>670</v>
      </c>
      <c r="E2176" s="2" t="s">
        <v>166</v>
      </c>
    </row>
    <row r="2177" customFormat="false" ht="15" hidden="false" customHeight="false" outlineLevel="0" collapsed="false">
      <c r="A2177" s="2" t="s">
        <v>284</v>
      </c>
      <c r="B2177" s="2" t="s">
        <v>671</v>
      </c>
      <c r="C2177" s="2" t="s">
        <v>632</v>
      </c>
      <c r="D2177" s="2" t="s">
        <v>672</v>
      </c>
      <c r="E2177" s="2" t="s">
        <v>166</v>
      </c>
    </row>
    <row r="2178" customFormat="false" ht="15" hidden="false" customHeight="false" outlineLevel="0" collapsed="false">
      <c r="A2178" s="2" t="s">
        <v>284</v>
      </c>
      <c r="B2178" s="2" t="s">
        <v>673</v>
      </c>
      <c r="C2178" s="2" t="s">
        <v>632</v>
      </c>
      <c r="D2178" s="2" t="s">
        <v>523</v>
      </c>
      <c r="E2178" s="2" t="s">
        <v>168</v>
      </c>
    </row>
    <row r="2179" customFormat="false" ht="15" hidden="false" customHeight="false" outlineLevel="0" collapsed="false">
      <c r="A2179" s="2" t="s">
        <v>284</v>
      </c>
      <c r="B2179" s="2" t="s">
        <v>674</v>
      </c>
      <c r="C2179" s="2" t="s">
        <v>632</v>
      </c>
      <c r="D2179" s="2" t="s">
        <v>523</v>
      </c>
      <c r="E2179" s="2" t="s">
        <v>168</v>
      </c>
    </row>
    <row r="2180" customFormat="false" ht="15" hidden="false" customHeight="false" outlineLevel="0" collapsed="false">
      <c r="A2180" s="2" t="s">
        <v>284</v>
      </c>
      <c r="B2180" s="2" t="s">
        <v>692</v>
      </c>
      <c r="C2180" s="2" t="s">
        <v>632</v>
      </c>
      <c r="D2180" s="2" t="s">
        <v>523</v>
      </c>
      <c r="E2180" s="2" t="s">
        <v>168</v>
      </c>
    </row>
    <row r="2181" customFormat="false" ht="15" hidden="false" customHeight="false" outlineLevel="0" collapsed="false">
      <c r="A2181" s="2" t="s">
        <v>284</v>
      </c>
      <c r="B2181" s="2" t="s">
        <v>675</v>
      </c>
      <c r="C2181" s="2" t="s">
        <v>632</v>
      </c>
      <c r="D2181" s="2" t="s">
        <v>523</v>
      </c>
      <c r="E2181" s="2" t="s">
        <v>168</v>
      </c>
    </row>
    <row r="2182" customFormat="false" ht="15" hidden="false" customHeight="false" outlineLevel="0" collapsed="false">
      <c r="A2182" s="2" t="s">
        <v>284</v>
      </c>
      <c r="B2182" s="2" t="s">
        <v>412</v>
      </c>
      <c r="C2182" s="2" t="s">
        <v>632</v>
      </c>
      <c r="D2182" s="2" t="s">
        <v>523</v>
      </c>
      <c r="E2182" s="2" t="s">
        <v>168</v>
      </c>
    </row>
    <row r="2183" customFormat="false" ht="15" hidden="false" customHeight="false" outlineLevel="0" collapsed="false">
      <c r="A2183" s="2" t="s">
        <v>284</v>
      </c>
      <c r="B2183" s="2" t="s">
        <v>694</v>
      </c>
      <c r="C2183" s="2" t="s">
        <v>633</v>
      </c>
      <c r="D2183" s="2" t="s">
        <v>677</v>
      </c>
      <c r="E2183" s="2" t="s">
        <v>166</v>
      </c>
    </row>
    <row r="2184" customFormat="false" ht="15" hidden="false" customHeight="false" outlineLevel="0" collapsed="false">
      <c r="A2184" s="2" t="s">
        <v>284</v>
      </c>
      <c r="B2184" s="2" t="s">
        <v>678</v>
      </c>
      <c r="C2184" s="2" t="s">
        <v>634</v>
      </c>
      <c r="D2184" s="2" t="s">
        <v>679</v>
      </c>
      <c r="E2184" s="2" t="s">
        <v>166</v>
      </c>
    </row>
    <row r="2185" customFormat="false" ht="15" hidden="false" customHeight="false" outlineLevel="0" collapsed="false">
      <c r="A2185" s="2" t="s">
        <v>284</v>
      </c>
      <c r="B2185" s="2" t="s">
        <v>680</v>
      </c>
      <c r="C2185" s="2" t="s">
        <v>629</v>
      </c>
      <c r="D2185" s="2" t="s">
        <v>681</v>
      </c>
      <c r="E2185" s="2" t="s">
        <v>169</v>
      </c>
    </row>
    <row r="2186" customFormat="false" ht="15" hidden="false" customHeight="false" outlineLevel="0" collapsed="false">
      <c r="A2186" s="2" t="s">
        <v>284</v>
      </c>
      <c r="B2186" s="2" t="s">
        <v>370</v>
      </c>
      <c r="C2186" s="2" t="s">
        <v>627</v>
      </c>
      <c r="D2186" s="2" t="s">
        <v>682</v>
      </c>
      <c r="E2186" s="2" t="s">
        <v>166</v>
      </c>
    </row>
    <row r="2187" customFormat="false" ht="15" hidden="false" customHeight="false" outlineLevel="0" collapsed="false">
      <c r="A2187" s="2" t="s">
        <v>284</v>
      </c>
      <c r="B2187" s="2" t="s">
        <v>683</v>
      </c>
      <c r="C2187" s="2" t="s">
        <v>627</v>
      </c>
      <c r="D2187" s="2" t="s">
        <v>402</v>
      </c>
      <c r="E2187" s="2" t="s">
        <v>168</v>
      </c>
    </row>
    <row r="2188" customFormat="false" ht="15" hidden="false" customHeight="false" outlineLevel="0" collapsed="false">
      <c r="A2188" s="2" t="s">
        <v>284</v>
      </c>
      <c r="B2188" s="2" t="s">
        <v>684</v>
      </c>
      <c r="C2188" s="2" t="s">
        <v>627</v>
      </c>
      <c r="D2188" s="2" t="s">
        <v>402</v>
      </c>
      <c r="E2188" s="2" t="s">
        <v>168</v>
      </c>
    </row>
    <row r="2189" customFormat="false" ht="15" hidden="false" customHeight="false" outlineLevel="0" collapsed="false">
      <c r="A2189" s="2" t="s">
        <v>284</v>
      </c>
      <c r="B2189" s="2" t="s">
        <v>410</v>
      </c>
      <c r="C2189" s="2" t="s">
        <v>627</v>
      </c>
      <c r="D2189" s="2" t="s">
        <v>402</v>
      </c>
      <c r="E2189" s="2" t="s">
        <v>168</v>
      </c>
    </row>
    <row r="2190" customFormat="false" ht="15" hidden="false" customHeight="false" outlineLevel="0" collapsed="false">
      <c r="A2190" s="2" t="s">
        <v>284</v>
      </c>
      <c r="B2190" s="2" t="s">
        <v>685</v>
      </c>
      <c r="C2190" s="2" t="s">
        <v>627</v>
      </c>
      <c r="D2190" s="2" t="s">
        <v>402</v>
      </c>
      <c r="E2190" s="2" t="s">
        <v>170</v>
      </c>
    </row>
    <row r="2191" customFormat="false" ht="15" hidden="false" customHeight="false" outlineLevel="0" collapsed="false">
      <c r="A2191" s="2" t="s">
        <v>284</v>
      </c>
      <c r="B2191" s="2" t="s">
        <v>686</v>
      </c>
      <c r="C2191" s="2" t="s">
        <v>628</v>
      </c>
      <c r="D2191" s="2" t="s">
        <v>687</v>
      </c>
      <c r="E2191" s="2" t="s">
        <v>166</v>
      </c>
    </row>
    <row r="2192" customFormat="false" ht="15" hidden="false" customHeight="false" outlineLevel="0" collapsed="false">
      <c r="A2192" s="2" t="s">
        <v>284</v>
      </c>
      <c r="B2192" s="2" t="s">
        <v>688</v>
      </c>
      <c r="C2192" s="2" t="s">
        <v>645</v>
      </c>
      <c r="D2192" s="2" t="s">
        <v>373</v>
      </c>
      <c r="E2192" s="2" t="s">
        <v>170</v>
      </c>
    </row>
    <row r="2193" customFormat="false" ht="15" hidden="false" customHeight="false" outlineLevel="0" collapsed="false">
      <c r="A2193" s="2" t="s">
        <v>284</v>
      </c>
      <c r="B2193" s="2" t="s">
        <v>689</v>
      </c>
      <c r="C2193" s="2" t="s">
        <v>645</v>
      </c>
      <c r="D2193" s="2" t="s">
        <v>690</v>
      </c>
      <c r="E2193" s="2" t="s">
        <v>167</v>
      </c>
    </row>
    <row r="2194" customFormat="false" ht="15" hidden="false" customHeight="false" outlineLevel="0" collapsed="false">
      <c r="A2194" s="2" t="s">
        <v>284</v>
      </c>
      <c r="B2194" s="2" t="s">
        <v>691</v>
      </c>
      <c r="C2194" s="2" t="s">
        <v>645</v>
      </c>
      <c r="D2194" s="2" t="s">
        <v>690</v>
      </c>
      <c r="E2194" s="2" t="s">
        <v>167</v>
      </c>
    </row>
    <row r="2195" customFormat="false" ht="15" hidden="false" customHeight="false" outlineLevel="0" collapsed="false">
      <c r="A2195" s="2" t="s">
        <v>285</v>
      </c>
      <c r="B2195" s="2" t="s">
        <v>649</v>
      </c>
      <c r="C2195" s="2" t="s">
        <v>635</v>
      </c>
      <c r="D2195" s="2" t="s">
        <v>487</v>
      </c>
      <c r="E2195" s="2" t="s">
        <v>166</v>
      </c>
    </row>
    <row r="2196" customFormat="false" ht="15" hidden="false" customHeight="false" outlineLevel="0" collapsed="false">
      <c r="A2196" s="2" t="s">
        <v>285</v>
      </c>
      <c r="B2196" s="2" t="s">
        <v>650</v>
      </c>
      <c r="C2196" s="2" t="s">
        <v>635</v>
      </c>
      <c r="D2196" s="2" t="s">
        <v>651</v>
      </c>
      <c r="E2196" s="2" t="s">
        <v>169</v>
      </c>
    </row>
    <row r="2197" customFormat="false" ht="15" hidden="false" customHeight="false" outlineLevel="0" collapsed="false">
      <c r="A2197" s="2" t="s">
        <v>285</v>
      </c>
      <c r="B2197" s="2" t="s">
        <v>652</v>
      </c>
      <c r="C2197" s="2" t="s">
        <v>635</v>
      </c>
      <c r="D2197" s="2" t="s">
        <v>653</v>
      </c>
      <c r="E2197" s="2" t="s">
        <v>169</v>
      </c>
    </row>
    <row r="2198" customFormat="false" ht="15" hidden="false" customHeight="false" outlineLevel="0" collapsed="false">
      <c r="A2198" s="2" t="s">
        <v>285</v>
      </c>
      <c r="B2198" s="2" t="s">
        <v>654</v>
      </c>
      <c r="C2198" s="2" t="s">
        <v>635</v>
      </c>
      <c r="D2198" s="2" t="s">
        <v>655</v>
      </c>
      <c r="E2198" s="2" t="s">
        <v>169</v>
      </c>
    </row>
    <row r="2199" customFormat="false" ht="15" hidden="false" customHeight="false" outlineLevel="0" collapsed="false">
      <c r="A2199" s="2" t="s">
        <v>285</v>
      </c>
      <c r="B2199" s="2" t="s">
        <v>656</v>
      </c>
      <c r="C2199" s="2" t="s">
        <v>642</v>
      </c>
      <c r="D2199" s="2" t="s">
        <v>487</v>
      </c>
      <c r="E2199" s="2" t="s">
        <v>166</v>
      </c>
    </row>
    <row r="2200" customFormat="false" ht="15" hidden="false" customHeight="false" outlineLevel="0" collapsed="false">
      <c r="A2200" s="2" t="s">
        <v>285</v>
      </c>
      <c r="B2200" s="2" t="s">
        <v>320</v>
      </c>
      <c r="C2200" s="2" t="s">
        <v>642</v>
      </c>
      <c r="D2200" s="2" t="s">
        <v>657</v>
      </c>
      <c r="E2200" s="2" t="s">
        <v>169</v>
      </c>
    </row>
    <row r="2201" customFormat="false" ht="15" hidden="false" customHeight="false" outlineLevel="0" collapsed="false">
      <c r="A2201" s="2" t="s">
        <v>285</v>
      </c>
      <c r="B2201" s="2" t="s">
        <v>658</v>
      </c>
      <c r="C2201" s="2" t="s">
        <v>642</v>
      </c>
      <c r="D2201" s="2" t="s">
        <v>487</v>
      </c>
      <c r="E2201" s="2" t="s">
        <v>166</v>
      </c>
    </row>
    <row r="2202" customFormat="false" ht="15" hidden="false" customHeight="false" outlineLevel="0" collapsed="false">
      <c r="A2202" s="2" t="s">
        <v>285</v>
      </c>
      <c r="B2202" s="2" t="s">
        <v>324</v>
      </c>
      <c r="C2202" s="2" t="s">
        <v>642</v>
      </c>
      <c r="D2202" s="2" t="s">
        <v>610</v>
      </c>
      <c r="E2202" s="2" t="s">
        <v>166</v>
      </c>
    </row>
    <row r="2203" customFormat="false" ht="15" hidden="false" customHeight="false" outlineLevel="0" collapsed="false">
      <c r="A2203" s="2" t="s">
        <v>285</v>
      </c>
      <c r="B2203" s="2" t="s">
        <v>704</v>
      </c>
      <c r="C2203" s="2" t="s">
        <v>643</v>
      </c>
      <c r="D2203" s="2" t="s">
        <v>494</v>
      </c>
      <c r="E2203" s="2" t="s">
        <v>167</v>
      </c>
    </row>
    <row r="2204" customFormat="false" ht="15" hidden="false" customHeight="false" outlineLevel="0" collapsed="false">
      <c r="A2204" s="2" t="s">
        <v>285</v>
      </c>
      <c r="B2204" s="2" t="s">
        <v>660</v>
      </c>
      <c r="C2204" s="2" t="s">
        <v>640</v>
      </c>
      <c r="D2204" s="2" t="s">
        <v>355</v>
      </c>
      <c r="E2204" s="2" t="s">
        <v>166</v>
      </c>
    </row>
    <row r="2205" customFormat="false" ht="15" hidden="false" customHeight="false" outlineLevel="0" collapsed="false">
      <c r="A2205" s="2" t="s">
        <v>285</v>
      </c>
      <c r="B2205" s="2" t="s">
        <v>661</v>
      </c>
      <c r="C2205" s="2" t="s">
        <v>641</v>
      </c>
      <c r="D2205" s="2" t="s">
        <v>355</v>
      </c>
      <c r="E2205" s="2" t="s">
        <v>166</v>
      </c>
    </row>
    <row r="2206" customFormat="false" ht="15" hidden="false" customHeight="false" outlineLevel="0" collapsed="false">
      <c r="A2206" s="2" t="s">
        <v>285</v>
      </c>
      <c r="B2206" s="2" t="s">
        <v>662</v>
      </c>
      <c r="C2206" s="2" t="s">
        <v>630</v>
      </c>
      <c r="D2206" s="2" t="s">
        <v>585</v>
      </c>
      <c r="E2206" s="2" t="s">
        <v>167</v>
      </c>
    </row>
    <row r="2207" customFormat="false" ht="15" hidden="false" customHeight="false" outlineLevel="0" collapsed="false">
      <c r="A2207" s="2" t="s">
        <v>285</v>
      </c>
      <c r="B2207" s="2" t="s">
        <v>663</v>
      </c>
      <c r="C2207" s="2" t="s">
        <v>631</v>
      </c>
      <c r="D2207" s="2" t="s">
        <v>664</v>
      </c>
      <c r="E2207" s="2" t="s">
        <v>166</v>
      </c>
    </row>
    <row r="2208" customFormat="false" ht="15" hidden="false" customHeight="false" outlineLevel="0" collapsed="false">
      <c r="A2208" s="2" t="s">
        <v>285</v>
      </c>
      <c r="B2208" s="2" t="s">
        <v>665</v>
      </c>
      <c r="C2208" s="2" t="s">
        <v>631</v>
      </c>
      <c r="D2208" s="2" t="s">
        <v>666</v>
      </c>
      <c r="E2208" s="2" t="s">
        <v>169</v>
      </c>
    </row>
    <row r="2209" customFormat="false" ht="15" hidden="false" customHeight="false" outlineLevel="0" collapsed="false">
      <c r="A2209" s="2" t="s">
        <v>285</v>
      </c>
      <c r="B2209" s="2" t="s">
        <v>667</v>
      </c>
      <c r="C2209" s="2" t="s">
        <v>638</v>
      </c>
      <c r="D2209" s="2" t="s">
        <v>668</v>
      </c>
      <c r="E2209" s="2" t="s">
        <v>166</v>
      </c>
    </row>
    <row r="2210" customFormat="false" ht="15" hidden="false" customHeight="false" outlineLevel="0" collapsed="false">
      <c r="A2210" s="2" t="s">
        <v>285</v>
      </c>
      <c r="B2210" s="2" t="s">
        <v>669</v>
      </c>
      <c r="C2210" s="2" t="s">
        <v>636</v>
      </c>
      <c r="D2210" s="2" t="s">
        <v>670</v>
      </c>
      <c r="E2210" s="2" t="s">
        <v>166</v>
      </c>
    </row>
    <row r="2211" customFormat="false" ht="15" hidden="false" customHeight="false" outlineLevel="0" collapsed="false">
      <c r="A2211" s="2" t="s">
        <v>285</v>
      </c>
      <c r="B2211" s="2" t="s">
        <v>671</v>
      </c>
      <c r="C2211" s="2" t="s">
        <v>632</v>
      </c>
      <c r="D2211" s="2" t="s">
        <v>672</v>
      </c>
      <c r="E2211" s="2" t="s">
        <v>166</v>
      </c>
    </row>
    <row r="2212" customFormat="false" ht="15" hidden="false" customHeight="false" outlineLevel="0" collapsed="false">
      <c r="A2212" s="2" t="s">
        <v>285</v>
      </c>
      <c r="B2212" s="2" t="s">
        <v>675</v>
      </c>
      <c r="C2212" s="2" t="s">
        <v>632</v>
      </c>
      <c r="D2212" s="2" t="s">
        <v>523</v>
      </c>
      <c r="E2212" s="2" t="s">
        <v>168</v>
      </c>
    </row>
    <row r="2213" customFormat="false" ht="15" hidden="false" customHeight="false" outlineLevel="0" collapsed="false">
      <c r="A2213" s="2" t="s">
        <v>285</v>
      </c>
      <c r="B2213" s="2" t="s">
        <v>412</v>
      </c>
      <c r="C2213" s="2" t="s">
        <v>632</v>
      </c>
      <c r="D2213" s="2" t="s">
        <v>523</v>
      </c>
      <c r="E2213" s="2" t="s">
        <v>168</v>
      </c>
    </row>
    <row r="2214" customFormat="false" ht="15" hidden="false" customHeight="false" outlineLevel="0" collapsed="false">
      <c r="A2214" s="2" t="s">
        <v>285</v>
      </c>
      <c r="B2214" s="2" t="s">
        <v>693</v>
      </c>
      <c r="C2214" s="2" t="s">
        <v>632</v>
      </c>
      <c r="D2214" s="2" t="s">
        <v>523</v>
      </c>
      <c r="E2214" s="2" t="s">
        <v>170</v>
      </c>
    </row>
    <row r="2215" customFormat="false" ht="15" hidden="false" customHeight="false" outlineLevel="0" collapsed="false">
      <c r="A2215" s="2" t="s">
        <v>285</v>
      </c>
      <c r="B2215" s="2" t="s">
        <v>694</v>
      </c>
      <c r="C2215" s="2" t="s">
        <v>633</v>
      </c>
      <c r="D2215" s="2" t="s">
        <v>677</v>
      </c>
      <c r="E2215" s="2" t="s">
        <v>166</v>
      </c>
    </row>
    <row r="2216" customFormat="false" ht="15" hidden="false" customHeight="false" outlineLevel="0" collapsed="false">
      <c r="A2216" s="2" t="s">
        <v>285</v>
      </c>
      <c r="B2216" s="2" t="s">
        <v>678</v>
      </c>
      <c r="C2216" s="2" t="s">
        <v>634</v>
      </c>
      <c r="D2216" s="2" t="s">
        <v>679</v>
      </c>
      <c r="E2216" s="2" t="s">
        <v>166</v>
      </c>
    </row>
    <row r="2217" customFormat="false" ht="15" hidden="false" customHeight="false" outlineLevel="0" collapsed="false">
      <c r="A2217" s="2" t="s">
        <v>285</v>
      </c>
      <c r="B2217" s="2" t="s">
        <v>680</v>
      </c>
      <c r="C2217" s="2" t="s">
        <v>629</v>
      </c>
      <c r="D2217" s="2" t="s">
        <v>681</v>
      </c>
      <c r="E2217" s="2" t="s">
        <v>169</v>
      </c>
    </row>
    <row r="2218" customFormat="false" ht="15" hidden="false" customHeight="false" outlineLevel="0" collapsed="false">
      <c r="A2218" s="2" t="s">
        <v>285</v>
      </c>
      <c r="B2218" s="2" t="s">
        <v>370</v>
      </c>
      <c r="C2218" s="2" t="s">
        <v>627</v>
      </c>
      <c r="D2218" s="2" t="s">
        <v>682</v>
      </c>
      <c r="E2218" s="2" t="s">
        <v>166</v>
      </c>
    </row>
    <row r="2219" customFormat="false" ht="15" hidden="false" customHeight="false" outlineLevel="0" collapsed="false">
      <c r="A2219" s="2" t="s">
        <v>285</v>
      </c>
      <c r="B2219" s="2" t="s">
        <v>696</v>
      </c>
      <c r="C2219" s="2" t="s">
        <v>627</v>
      </c>
      <c r="D2219" s="2" t="s">
        <v>402</v>
      </c>
      <c r="E2219" s="2" t="s">
        <v>168</v>
      </c>
    </row>
    <row r="2220" customFormat="false" ht="15" hidden="false" customHeight="false" outlineLevel="0" collapsed="false">
      <c r="A2220" s="2" t="s">
        <v>285</v>
      </c>
      <c r="B2220" s="2" t="s">
        <v>697</v>
      </c>
      <c r="C2220" s="2" t="s">
        <v>627</v>
      </c>
      <c r="D2220" s="2" t="s">
        <v>402</v>
      </c>
      <c r="E2220" s="2" t="s">
        <v>168</v>
      </c>
    </row>
    <row r="2221" customFormat="false" ht="15" hidden="false" customHeight="false" outlineLevel="0" collapsed="false">
      <c r="A2221" s="2" t="s">
        <v>285</v>
      </c>
      <c r="B2221" s="2" t="s">
        <v>683</v>
      </c>
      <c r="C2221" s="2" t="s">
        <v>627</v>
      </c>
      <c r="D2221" s="2" t="s">
        <v>402</v>
      </c>
      <c r="E2221" s="2" t="s">
        <v>168</v>
      </c>
    </row>
    <row r="2222" customFormat="false" ht="15" hidden="false" customHeight="false" outlineLevel="0" collapsed="false">
      <c r="A2222" s="2" t="s">
        <v>285</v>
      </c>
      <c r="B2222" s="2" t="s">
        <v>684</v>
      </c>
      <c r="C2222" s="2" t="s">
        <v>627</v>
      </c>
      <c r="D2222" s="2" t="s">
        <v>402</v>
      </c>
      <c r="E2222" s="2" t="s">
        <v>168</v>
      </c>
    </row>
    <row r="2223" customFormat="false" ht="15" hidden="false" customHeight="false" outlineLevel="0" collapsed="false">
      <c r="A2223" s="2" t="s">
        <v>285</v>
      </c>
      <c r="B2223" s="2" t="s">
        <v>410</v>
      </c>
      <c r="C2223" s="2" t="s">
        <v>627</v>
      </c>
      <c r="D2223" s="2" t="s">
        <v>402</v>
      </c>
      <c r="E2223" s="2" t="s">
        <v>168</v>
      </c>
    </row>
    <row r="2224" customFormat="false" ht="15" hidden="false" customHeight="false" outlineLevel="0" collapsed="false">
      <c r="A2224" s="2" t="s">
        <v>285</v>
      </c>
      <c r="B2224" s="2" t="s">
        <v>708</v>
      </c>
      <c r="C2224" s="2" t="s">
        <v>628</v>
      </c>
      <c r="D2224" s="2" t="s">
        <v>687</v>
      </c>
      <c r="E2224" s="2" t="s">
        <v>166</v>
      </c>
    </row>
    <row r="2225" customFormat="false" ht="15" hidden="false" customHeight="false" outlineLevel="0" collapsed="false">
      <c r="A2225" s="2" t="s">
        <v>285</v>
      </c>
      <c r="B2225" s="2" t="s">
        <v>705</v>
      </c>
      <c r="C2225" s="2" t="s">
        <v>639</v>
      </c>
      <c r="D2225" s="2" t="s">
        <v>598</v>
      </c>
      <c r="E2225" s="2" t="s">
        <v>170</v>
      </c>
    </row>
    <row r="2226" customFormat="false" ht="15" hidden="false" customHeight="false" outlineLevel="0" collapsed="false">
      <c r="A2226" s="2" t="s">
        <v>285</v>
      </c>
      <c r="B2226" s="2" t="s">
        <v>705</v>
      </c>
      <c r="C2226" s="2" t="s">
        <v>639</v>
      </c>
      <c r="D2226" s="2" t="s">
        <v>598</v>
      </c>
      <c r="E2226" s="2" t="s">
        <v>170</v>
      </c>
    </row>
    <row r="2227" customFormat="false" ht="15" hidden="false" customHeight="false" outlineLevel="0" collapsed="false">
      <c r="A2227" s="2" t="s">
        <v>285</v>
      </c>
      <c r="B2227" s="2" t="s">
        <v>688</v>
      </c>
      <c r="C2227" s="2" t="s">
        <v>645</v>
      </c>
      <c r="D2227" s="2" t="s">
        <v>373</v>
      </c>
      <c r="E2227" s="2" t="s">
        <v>170</v>
      </c>
    </row>
    <row r="2228" customFormat="false" ht="15" hidden="false" customHeight="false" outlineLevel="0" collapsed="false">
      <c r="A2228" s="2" t="s">
        <v>286</v>
      </c>
      <c r="B2228" s="2" t="s">
        <v>649</v>
      </c>
      <c r="C2228" s="2" t="s">
        <v>635</v>
      </c>
      <c r="D2228" s="2" t="s">
        <v>487</v>
      </c>
      <c r="E2228" s="2" t="s">
        <v>166</v>
      </c>
    </row>
    <row r="2229" customFormat="false" ht="15" hidden="false" customHeight="false" outlineLevel="0" collapsed="false">
      <c r="A2229" s="2" t="s">
        <v>286</v>
      </c>
      <c r="B2229" s="2" t="s">
        <v>650</v>
      </c>
      <c r="C2229" s="2" t="s">
        <v>635</v>
      </c>
      <c r="D2229" s="2" t="s">
        <v>651</v>
      </c>
      <c r="E2229" s="2" t="s">
        <v>169</v>
      </c>
    </row>
    <row r="2230" customFormat="false" ht="15" hidden="false" customHeight="false" outlineLevel="0" collapsed="false">
      <c r="A2230" s="2" t="s">
        <v>286</v>
      </c>
      <c r="B2230" s="2" t="s">
        <v>652</v>
      </c>
      <c r="C2230" s="2" t="s">
        <v>635</v>
      </c>
      <c r="D2230" s="2" t="s">
        <v>653</v>
      </c>
      <c r="E2230" s="2" t="s">
        <v>169</v>
      </c>
    </row>
    <row r="2231" customFormat="false" ht="15" hidden="false" customHeight="false" outlineLevel="0" collapsed="false">
      <c r="A2231" s="2" t="s">
        <v>286</v>
      </c>
      <c r="B2231" s="2" t="s">
        <v>654</v>
      </c>
      <c r="C2231" s="2" t="s">
        <v>635</v>
      </c>
      <c r="D2231" s="2" t="s">
        <v>655</v>
      </c>
      <c r="E2231" s="2" t="s">
        <v>169</v>
      </c>
    </row>
    <row r="2232" customFormat="false" ht="15" hidden="false" customHeight="false" outlineLevel="0" collapsed="false">
      <c r="A2232" s="2" t="s">
        <v>286</v>
      </c>
      <c r="B2232" s="2" t="s">
        <v>656</v>
      </c>
      <c r="C2232" s="2" t="s">
        <v>642</v>
      </c>
      <c r="D2232" s="2" t="s">
        <v>487</v>
      </c>
      <c r="E2232" s="2" t="s">
        <v>166</v>
      </c>
    </row>
    <row r="2233" customFormat="false" ht="15" hidden="false" customHeight="false" outlineLevel="0" collapsed="false">
      <c r="A2233" s="2" t="s">
        <v>286</v>
      </c>
      <c r="B2233" s="2" t="s">
        <v>320</v>
      </c>
      <c r="C2233" s="2" t="s">
        <v>642</v>
      </c>
      <c r="D2233" s="2" t="s">
        <v>657</v>
      </c>
      <c r="E2233" s="2" t="s">
        <v>169</v>
      </c>
    </row>
    <row r="2234" customFormat="false" ht="15" hidden="false" customHeight="false" outlineLevel="0" collapsed="false">
      <c r="A2234" s="2" t="s">
        <v>286</v>
      </c>
      <c r="B2234" s="2" t="s">
        <v>658</v>
      </c>
      <c r="C2234" s="2" t="s">
        <v>642</v>
      </c>
      <c r="D2234" s="2" t="s">
        <v>487</v>
      </c>
      <c r="E2234" s="2" t="s">
        <v>166</v>
      </c>
    </row>
    <row r="2235" customFormat="false" ht="15" hidden="false" customHeight="false" outlineLevel="0" collapsed="false">
      <c r="A2235" s="2" t="s">
        <v>286</v>
      </c>
      <c r="B2235" s="2" t="s">
        <v>324</v>
      </c>
      <c r="C2235" s="2" t="s">
        <v>642</v>
      </c>
      <c r="D2235" s="2" t="s">
        <v>610</v>
      </c>
      <c r="E2235" s="2" t="s">
        <v>166</v>
      </c>
    </row>
    <row r="2236" customFormat="false" ht="15" hidden="false" customHeight="false" outlineLevel="0" collapsed="false">
      <c r="A2236" s="2" t="s">
        <v>286</v>
      </c>
      <c r="B2236" s="2" t="s">
        <v>704</v>
      </c>
      <c r="C2236" s="2" t="s">
        <v>643</v>
      </c>
      <c r="D2236" s="2" t="s">
        <v>494</v>
      </c>
      <c r="E2236" s="2" t="s">
        <v>167</v>
      </c>
    </row>
    <row r="2237" customFormat="false" ht="15" hidden="false" customHeight="false" outlineLevel="0" collapsed="false">
      <c r="A2237" s="2" t="s">
        <v>286</v>
      </c>
      <c r="B2237" s="2" t="s">
        <v>660</v>
      </c>
      <c r="C2237" s="2" t="s">
        <v>640</v>
      </c>
      <c r="D2237" s="2" t="s">
        <v>355</v>
      </c>
      <c r="E2237" s="2" t="s">
        <v>166</v>
      </c>
    </row>
    <row r="2238" customFormat="false" ht="15" hidden="false" customHeight="false" outlineLevel="0" collapsed="false">
      <c r="A2238" s="2" t="s">
        <v>286</v>
      </c>
      <c r="B2238" s="2" t="s">
        <v>661</v>
      </c>
      <c r="C2238" s="2" t="s">
        <v>641</v>
      </c>
      <c r="D2238" s="2" t="s">
        <v>355</v>
      </c>
      <c r="E2238" s="2" t="s">
        <v>166</v>
      </c>
    </row>
    <row r="2239" customFormat="false" ht="15" hidden="false" customHeight="false" outlineLevel="0" collapsed="false">
      <c r="A2239" s="2" t="s">
        <v>286</v>
      </c>
      <c r="B2239" s="2" t="s">
        <v>662</v>
      </c>
      <c r="C2239" s="2" t="s">
        <v>630</v>
      </c>
      <c r="D2239" s="2" t="s">
        <v>585</v>
      </c>
      <c r="E2239" s="2" t="s">
        <v>167</v>
      </c>
    </row>
    <row r="2240" customFormat="false" ht="15" hidden="false" customHeight="false" outlineLevel="0" collapsed="false">
      <c r="A2240" s="2" t="s">
        <v>286</v>
      </c>
      <c r="B2240" s="2" t="s">
        <v>667</v>
      </c>
      <c r="C2240" s="2" t="s">
        <v>638</v>
      </c>
      <c r="D2240" s="2" t="s">
        <v>668</v>
      </c>
      <c r="E2240" s="2" t="s">
        <v>166</v>
      </c>
    </row>
    <row r="2241" customFormat="false" ht="15" hidden="false" customHeight="false" outlineLevel="0" collapsed="false">
      <c r="A2241" s="2" t="s">
        <v>286</v>
      </c>
      <c r="B2241" s="2" t="s">
        <v>669</v>
      </c>
      <c r="C2241" s="2" t="s">
        <v>636</v>
      </c>
      <c r="D2241" s="2" t="s">
        <v>670</v>
      </c>
      <c r="E2241" s="2" t="s">
        <v>166</v>
      </c>
    </row>
    <row r="2242" customFormat="false" ht="15" hidden="false" customHeight="false" outlineLevel="0" collapsed="false">
      <c r="A2242" s="2" t="s">
        <v>286</v>
      </c>
      <c r="B2242" s="2" t="s">
        <v>671</v>
      </c>
      <c r="C2242" s="2" t="s">
        <v>632</v>
      </c>
      <c r="D2242" s="2" t="s">
        <v>672</v>
      </c>
      <c r="E2242" s="2" t="s">
        <v>166</v>
      </c>
    </row>
    <row r="2243" customFormat="false" ht="15" hidden="false" customHeight="false" outlineLevel="0" collapsed="false">
      <c r="A2243" s="2" t="s">
        <v>286</v>
      </c>
      <c r="B2243" s="2" t="s">
        <v>693</v>
      </c>
      <c r="C2243" s="2" t="s">
        <v>632</v>
      </c>
      <c r="D2243" s="2" t="s">
        <v>523</v>
      </c>
      <c r="E2243" s="2" t="s">
        <v>170</v>
      </c>
    </row>
    <row r="2244" customFormat="false" ht="15" hidden="false" customHeight="false" outlineLevel="0" collapsed="false">
      <c r="A2244" s="2" t="s">
        <v>286</v>
      </c>
      <c r="B2244" s="2" t="s">
        <v>693</v>
      </c>
      <c r="C2244" s="2" t="s">
        <v>632</v>
      </c>
      <c r="D2244" s="2" t="s">
        <v>523</v>
      </c>
      <c r="E2244" s="2" t="s">
        <v>170</v>
      </c>
    </row>
    <row r="2245" customFormat="false" ht="15" hidden="false" customHeight="false" outlineLevel="0" collapsed="false">
      <c r="A2245" s="2" t="s">
        <v>286</v>
      </c>
      <c r="B2245" s="2" t="s">
        <v>694</v>
      </c>
      <c r="C2245" s="2" t="s">
        <v>633</v>
      </c>
      <c r="D2245" s="2" t="s">
        <v>677</v>
      </c>
      <c r="E2245" s="2" t="s">
        <v>166</v>
      </c>
    </row>
    <row r="2246" customFormat="false" ht="15" hidden="false" customHeight="false" outlineLevel="0" collapsed="false">
      <c r="A2246" s="2" t="s">
        <v>286</v>
      </c>
      <c r="B2246" s="2" t="s">
        <v>678</v>
      </c>
      <c r="C2246" s="2" t="s">
        <v>634</v>
      </c>
      <c r="D2246" s="2" t="s">
        <v>695</v>
      </c>
      <c r="E2246" s="2" t="s">
        <v>169</v>
      </c>
    </row>
    <row r="2247" customFormat="false" ht="15" hidden="false" customHeight="false" outlineLevel="0" collapsed="false">
      <c r="A2247" s="2" t="s">
        <v>286</v>
      </c>
      <c r="B2247" s="2" t="s">
        <v>680</v>
      </c>
      <c r="C2247" s="2" t="s">
        <v>629</v>
      </c>
      <c r="D2247" s="2" t="s">
        <v>681</v>
      </c>
      <c r="E2247" s="2" t="s">
        <v>169</v>
      </c>
    </row>
    <row r="2248" customFormat="false" ht="15" hidden="false" customHeight="false" outlineLevel="0" collapsed="false">
      <c r="A2248" s="2" t="s">
        <v>286</v>
      </c>
      <c r="B2248" s="2" t="s">
        <v>370</v>
      </c>
      <c r="C2248" s="2" t="s">
        <v>627</v>
      </c>
      <c r="D2248" s="2" t="s">
        <v>682</v>
      </c>
      <c r="E2248" s="2" t="s">
        <v>166</v>
      </c>
    </row>
    <row r="2249" customFormat="false" ht="15" hidden="false" customHeight="false" outlineLevel="0" collapsed="false">
      <c r="A2249" s="2" t="s">
        <v>286</v>
      </c>
      <c r="B2249" s="2" t="s">
        <v>684</v>
      </c>
      <c r="C2249" s="2" t="s">
        <v>627</v>
      </c>
      <c r="D2249" s="2" t="s">
        <v>402</v>
      </c>
      <c r="E2249" s="2" t="s">
        <v>168</v>
      </c>
    </row>
    <row r="2250" customFormat="false" ht="15" hidden="false" customHeight="false" outlineLevel="0" collapsed="false">
      <c r="A2250" s="2" t="s">
        <v>286</v>
      </c>
      <c r="B2250" s="2" t="s">
        <v>410</v>
      </c>
      <c r="C2250" s="2" t="s">
        <v>627</v>
      </c>
      <c r="D2250" s="2" t="s">
        <v>402</v>
      </c>
      <c r="E2250" s="2" t="s">
        <v>168</v>
      </c>
    </row>
    <row r="2251" customFormat="false" ht="15" hidden="false" customHeight="false" outlineLevel="0" collapsed="false">
      <c r="A2251" s="2" t="s">
        <v>286</v>
      </c>
      <c r="B2251" s="2" t="s">
        <v>685</v>
      </c>
      <c r="C2251" s="2" t="s">
        <v>627</v>
      </c>
      <c r="D2251" s="2" t="s">
        <v>402</v>
      </c>
      <c r="E2251" s="2" t="s">
        <v>170</v>
      </c>
    </row>
    <row r="2252" customFormat="false" ht="15" hidden="false" customHeight="false" outlineLevel="0" collapsed="false">
      <c r="A2252" s="2" t="s">
        <v>286</v>
      </c>
      <c r="B2252" s="2" t="s">
        <v>686</v>
      </c>
      <c r="C2252" s="2" t="s">
        <v>628</v>
      </c>
      <c r="D2252" s="2" t="s">
        <v>687</v>
      </c>
      <c r="E2252" s="2" t="s">
        <v>166</v>
      </c>
    </row>
    <row r="2253" customFormat="false" ht="15" hidden="false" customHeight="false" outlineLevel="0" collapsed="false">
      <c r="A2253" s="2" t="s">
        <v>286</v>
      </c>
      <c r="B2253" s="2" t="s">
        <v>688</v>
      </c>
      <c r="C2253" s="2" t="s">
        <v>645</v>
      </c>
      <c r="D2253" s="2" t="s">
        <v>373</v>
      </c>
      <c r="E2253" s="2" t="s">
        <v>170</v>
      </c>
    </row>
    <row r="2254" customFormat="false" ht="15" hidden="false" customHeight="false" outlineLevel="0" collapsed="false">
      <c r="A2254" s="2" t="s">
        <v>287</v>
      </c>
      <c r="B2254" s="2" t="s">
        <v>649</v>
      </c>
      <c r="C2254" s="2" t="s">
        <v>635</v>
      </c>
      <c r="D2254" s="2" t="s">
        <v>487</v>
      </c>
      <c r="E2254" s="2" t="s">
        <v>166</v>
      </c>
    </row>
    <row r="2255" customFormat="false" ht="15" hidden="false" customHeight="false" outlineLevel="0" collapsed="false">
      <c r="A2255" s="2" t="s">
        <v>287</v>
      </c>
      <c r="B2255" s="2" t="s">
        <v>650</v>
      </c>
      <c r="C2255" s="2" t="s">
        <v>635</v>
      </c>
      <c r="D2255" s="2" t="s">
        <v>651</v>
      </c>
      <c r="E2255" s="2" t="s">
        <v>169</v>
      </c>
    </row>
    <row r="2256" customFormat="false" ht="15" hidden="false" customHeight="false" outlineLevel="0" collapsed="false">
      <c r="A2256" s="2" t="s">
        <v>287</v>
      </c>
      <c r="B2256" s="2" t="s">
        <v>652</v>
      </c>
      <c r="C2256" s="2" t="s">
        <v>635</v>
      </c>
      <c r="D2256" s="2" t="s">
        <v>653</v>
      </c>
      <c r="E2256" s="2" t="s">
        <v>169</v>
      </c>
    </row>
    <row r="2257" customFormat="false" ht="15" hidden="false" customHeight="false" outlineLevel="0" collapsed="false">
      <c r="A2257" s="2" t="s">
        <v>287</v>
      </c>
      <c r="B2257" s="2" t="s">
        <v>654</v>
      </c>
      <c r="C2257" s="2" t="s">
        <v>635</v>
      </c>
      <c r="D2257" s="2" t="s">
        <v>655</v>
      </c>
      <c r="E2257" s="2" t="s">
        <v>169</v>
      </c>
    </row>
    <row r="2258" customFormat="false" ht="15" hidden="false" customHeight="false" outlineLevel="0" collapsed="false">
      <c r="A2258" s="2" t="s">
        <v>287</v>
      </c>
      <c r="B2258" s="2" t="s">
        <v>656</v>
      </c>
      <c r="C2258" s="2" t="s">
        <v>642</v>
      </c>
      <c r="D2258" s="2" t="s">
        <v>487</v>
      </c>
      <c r="E2258" s="2" t="s">
        <v>166</v>
      </c>
    </row>
    <row r="2259" customFormat="false" ht="15" hidden="false" customHeight="false" outlineLevel="0" collapsed="false">
      <c r="A2259" s="2" t="s">
        <v>287</v>
      </c>
      <c r="B2259" s="2" t="s">
        <v>320</v>
      </c>
      <c r="C2259" s="2" t="s">
        <v>642</v>
      </c>
      <c r="D2259" s="2" t="s">
        <v>657</v>
      </c>
      <c r="E2259" s="2" t="s">
        <v>169</v>
      </c>
    </row>
    <row r="2260" customFormat="false" ht="15" hidden="false" customHeight="false" outlineLevel="0" collapsed="false">
      <c r="A2260" s="2" t="s">
        <v>287</v>
      </c>
      <c r="B2260" s="2" t="s">
        <v>658</v>
      </c>
      <c r="C2260" s="2" t="s">
        <v>642</v>
      </c>
      <c r="D2260" s="2" t="s">
        <v>487</v>
      </c>
      <c r="E2260" s="2" t="s">
        <v>166</v>
      </c>
    </row>
    <row r="2261" customFormat="false" ht="15" hidden="false" customHeight="false" outlineLevel="0" collapsed="false">
      <c r="A2261" s="2" t="s">
        <v>287</v>
      </c>
      <c r="B2261" s="2" t="s">
        <v>324</v>
      </c>
      <c r="C2261" s="2" t="s">
        <v>642</v>
      </c>
      <c r="D2261" s="2" t="s">
        <v>610</v>
      </c>
      <c r="E2261" s="2" t="s">
        <v>166</v>
      </c>
    </row>
    <row r="2262" customFormat="false" ht="15" hidden="false" customHeight="false" outlineLevel="0" collapsed="false">
      <c r="A2262" s="2" t="s">
        <v>287</v>
      </c>
      <c r="B2262" s="2" t="s">
        <v>660</v>
      </c>
      <c r="C2262" s="2" t="s">
        <v>640</v>
      </c>
      <c r="D2262" s="2" t="s">
        <v>355</v>
      </c>
      <c r="E2262" s="2" t="s">
        <v>166</v>
      </c>
    </row>
    <row r="2263" customFormat="false" ht="15" hidden="false" customHeight="false" outlineLevel="0" collapsed="false">
      <c r="A2263" s="2" t="s">
        <v>287</v>
      </c>
      <c r="B2263" s="2" t="s">
        <v>661</v>
      </c>
      <c r="C2263" s="2" t="s">
        <v>641</v>
      </c>
      <c r="D2263" s="2" t="s">
        <v>355</v>
      </c>
      <c r="E2263" s="2" t="s">
        <v>166</v>
      </c>
    </row>
    <row r="2264" customFormat="false" ht="15" hidden="false" customHeight="false" outlineLevel="0" collapsed="false">
      <c r="A2264" s="2" t="s">
        <v>287</v>
      </c>
      <c r="B2264" s="2" t="s">
        <v>662</v>
      </c>
      <c r="C2264" s="2" t="s">
        <v>630</v>
      </c>
      <c r="D2264" s="2" t="s">
        <v>585</v>
      </c>
      <c r="E2264" s="2" t="s">
        <v>167</v>
      </c>
    </row>
    <row r="2265" customFormat="false" ht="15" hidden="false" customHeight="false" outlineLevel="0" collapsed="false">
      <c r="A2265" s="2" t="s">
        <v>287</v>
      </c>
      <c r="B2265" s="2" t="s">
        <v>663</v>
      </c>
      <c r="C2265" s="2" t="s">
        <v>631</v>
      </c>
      <c r="D2265" s="2" t="s">
        <v>664</v>
      </c>
      <c r="E2265" s="2" t="s">
        <v>166</v>
      </c>
    </row>
    <row r="2266" customFormat="false" ht="15" hidden="false" customHeight="false" outlineLevel="0" collapsed="false">
      <c r="A2266" s="2" t="s">
        <v>287</v>
      </c>
      <c r="B2266" s="2" t="s">
        <v>665</v>
      </c>
      <c r="C2266" s="2" t="s">
        <v>631</v>
      </c>
      <c r="D2266" s="2" t="s">
        <v>666</v>
      </c>
      <c r="E2266" s="2" t="s">
        <v>169</v>
      </c>
    </row>
    <row r="2267" customFormat="false" ht="15" hidden="false" customHeight="false" outlineLevel="0" collapsed="false">
      <c r="A2267" s="2" t="s">
        <v>287</v>
      </c>
      <c r="B2267" s="2" t="s">
        <v>667</v>
      </c>
      <c r="C2267" s="2" t="s">
        <v>638</v>
      </c>
      <c r="D2267" s="2" t="s">
        <v>668</v>
      </c>
      <c r="E2267" s="2" t="s">
        <v>166</v>
      </c>
    </row>
    <row r="2268" customFormat="false" ht="15" hidden="false" customHeight="false" outlineLevel="0" collapsed="false">
      <c r="A2268" s="2" t="s">
        <v>287</v>
      </c>
      <c r="B2268" s="2" t="s">
        <v>669</v>
      </c>
      <c r="C2268" s="2" t="s">
        <v>636</v>
      </c>
      <c r="D2268" s="2" t="s">
        <v>670</v>
      </c>
      <c r="E2268" s="2" t="s">
        <v>166</v>
      </c>
    </row>
    <row r="2269" customFormat="false" ht="15" hidden="false" customHeight="false" outlineLevel="0" collapsed="false">
      <c r="A2269" s="2" t="s">
        <v>287</v>
      </c>
      <c r="B2269" s="2" t="s">
        <v>671</v>
      </c>
      <c r="C2269" s="2" t="s">
        <v>632</v>
      </c>
      <c r="D2269" s="2" t="s">
        <v>672</v>
      </c>
      <c r="E2269" s="2" t="s">
        <v>166</v>
      </c>
    </row>
    <row r="2270" customFormat="false" ht="15" hidden="false" customHeight="false" outlineLevel="0" collapsed="false">
      <c r="A2270" s="2" t="s">
        <v>287</v>
      </c>
      <c r="B2270" s="2" t="s">
        <v>673</v>
      </c>
      <c r="C2270" s="2" t="s">
        <v>632</v>
      </c>
      <c r="D2270" s="2" t="s">
        <v>523</v>
      </c>
      <c r="E2270" s="2" t="s">
        <v>168</v>
      </c>
    </row>
    <row r="2271" customFormat="false" ht="15" hidden="false" customHeight="false" outlineLevel="0" collapsed="false">
      <c r="A2271" s="2" t="s">
        <v>287</v>
      </c>
      <c r="B2271" s="2" t="s">
        <v>674</v>
      </c>
      <c r="C2271" s="2" t="s">
        <v>632</v>
      </c>
      <c r="D2271" s="2" t="s">
        <v>523</v>
      </c>
      <c r="E2271" s="2" t="s">
        <v>168</v>
      </c>
    </row>
    <row r="2272" customFormat="false" ht="15" hidden="false" customHeight="false" outlineLevel="0" collapsed="false">
      <c r="A2272" s="2" t="s">
        <v>287</v>
      </c>
      <c r="B2272" s="2" t="s">
        <v>692</v>
      </c>
      <c r="C2272" s="2" t="s">
        <v>632</v>
      </c>
      <c r="D2272" s="2" t="s">
        <v>523</v>
      </c>
      <c r="E2272" s="2" t="s">
        <v>168</v>
      </c>
    </row>
    <row r="2273" customFormat="false" ht="15" hidden="false" customHeight="false" outlineLevel="0" collapsed="false">
      <c r="A2273" s="2" t="s">
        <v>287</v>
      </c>
      <c r="B2273" s="2" t="s">
        <v>675</v>
      </c>
      <c r="C2273" s="2" t="s">
        <v>632</v>
      </c>
      <c r="D2273" s="2" t="s">
        <v>523</v>
      </c>
      <c r="E2273" s="2" t="s">
        <v>168</v>
      </c>
    </row>
    <row r="2274" customFormat="false" ht="15" hidden="false" customHeight="false" outlineLevel="0" collapsed="false">
      <c r="A2274" s="2" t="s">
        <v>287</v>
      </c>
      <c r="B2274" s="2" t="s">
        <v>702</v>
      </c>
      <c r="C2274" s="2" t="s">
        <v>632</v>
      </c>
      <c r="D2274" s="2" t="s">
        <v>523</v>
      </c>
      <c r="E2274" s="2" t="s">
        <v>168</v>
      </c>
    </row>
    <row r="2275" customFormat="false" ht="15" hidden="false" customHeight="false" outlineLevel="0" collapsed="false">
      <c r="A2275" s="2" t="s">
        <v>287</v>
      </c>
      <c r="B2275" s="2" t="s">
        <v>412</v>
      </c>
      <c r="C2275" s="2" t="s">
        <v>632</v>
      </c>
      <c r="D2275" s="2" t="s">
        <v>523</v>
      </c>
      <c r="E2275" s="2" t="s">
        <v>168</v>
      </c>
    </row>
    <row r="2276" customFormat="false" ht="15" hidden="false" customHeight="false" outlineLevel="0" collapsed="false">
      <c r="A2276" s="2" t="s">
        <v>287</v>
      </c>
      <c r="B2276" s="2" t="s">
        <v>676</v>
      </c>
      <c r="C2276" s="2" t="s">
        <v>633</v>
      </c>
      <c r="D2276" s="2" t="s">
        <v>677</v>
      </c>
      <c r="E2276" s="2" t="s">
        <v>166</v>
      </c>
    </row>
    <row r="2277" customFormat="false" ht="15" hidden="false" customHeight="false" outlineLevel="0" collapsed="false">
      <c r="A2277" s="2" t="s">
        <v>287</v>
      </c>
      <c r="B2277" s="2" t="s">
        <v>678</v>
      </c>
      <c r="C2277" s="2" t="s">
        <v>634</v>
      </c>
      <c r="D2277" s="2" t="s">
        <v>679</v>
      </c>
      <c r="E2277" s="2" t="s">
        <v>166</v>
      </c>
    </row>
    <row r="2278" customFormat="false" ht="15" hidden="false" customHeight="false" outlineLevel="0" collapsed="false">
      <c r="A2278" s="2" t="s">
        <v>287</v>
      </c>
      <c r="B2278" s="2" t="s">
        <v>680</v>
      </c>
      <c r="C2278" s="2" t="s">
        <v>629</v>
      </c>
      <c r="D2278" s="2" t="s">
        <v>703</v>
      </c>
      <c r="E2278" s="2" t="s">
        <v>166</v>
      </c>
    </row>
    <row r="2279" customFormat="false" ht="15" hidden="false" customHeight="false" outlineLevel="0" collapsed="false">
      <c r="A2279" s="2" t="s">
        <v>287</v>
      </c>
      <c r="B2279" s="2" t="s">
        <v>370</v>
      </c>
      <c r="C2279" s="2" t="s">
        <v>627</v>
      </c>
      <c r="D2279" s="2" t="s">
        <v>682</v>
      </c>
      <c r="E2279" s="2" t="s">
        <v>166</v>
      </c>
    </row>
    <row r="2280" customFormat="false" ht="15" hidden="false" customHeight="false" outlineLevel="0" collapsed="false">
      <c r="A2280" s="2" t="s">
        <v>287</v>
      </c>
      <c r="B2280" s="2" t="s">
        <v>684</v>
      </c>
      <c r="C2280" s="2" t="s">
        <v>627</v>
      </c>
      <c r="D2280" s="2" t="s">
        <v>402</v>
      </c>
      <c r="E2280" s="2" t="s">
        <v>168</v>
      </c>
    </row>
    <row r="2281" customFormat="false" ht="15" hidden="false" customHeight="false" outlineLevel="0" collapsed="false">
      <c r="A2281" s="2" t="s">
        <v>287</v>
      </c>
      <c r="B2281" s="2" t="s">
        <v>410</v>
      </c>
      <c r="C2281" s="2" t="s">
        <v>627</v>
      </c>
      <c r="D2281" s="2" t="s">
        <v>402</v>
      </c>
      <c r="E2281" s="2" t="s">
        <v>168</v>
      </c>
    </row>
    <row r="2282" customFormat="false" ht="15" hidden="false" customHeight="false" outlineLevel="0" collapsed="false">
      <c r="A2282" s="2" t="s">
        <v>287</v>
      </c>
      <c r="B2282" s="2" t="s">
        <v>685</v>
      </c>
      <c r="C2282" s="2" t="s">
        <v>627</v>
      </c>
      <c r="D2282" s="2" t="s">
        <v>402</v>
      </c>
      <c r="E2282" s="2" t="s">
        <v>170</v>
      </c>
    </row>
    <row r="2283" customFormat="false" ht="15" hidden="false" customHeight="false" outlineLevel="0" collapsed="false">
      <c r="A2283" s="2" t="s">
        <v>287</v>
      </c>
      <c r="B2283" s="2" t="s">
        <v>686</v>
      </c>
      <c r="C2283" s="2" t="s">
        <v>628</v>
      </c>
      <c r="D2283" s="2" t="s">
        <v>687</v>
      </c>
      <c r="E2283" s="2" t="s">
        <v>166</v>
      </c>
    </row>
    <row r="2284" customFormat="false" ht="15" hidden="false" customHeight="false" outlineLevel="0" collapsed="false">
      <c r="A2284" s="2" t="s">
        <v>287</v>
      </c>
      <c r="B2284" s="2" t="s">
        <v>688</v>
      </c>
      <c r="C2284" s="2" t="s">
        <v>645</v>
      </c>
      <c r="D2284" s="2" t="s">
        <v>373</v>
      </c>
      <c r="E2284" s="2" t="s">
        <v>170</v>
      </c>
    </row>
    <row r="2285" customFormat="false" ht="15" hidden="false" customHeight="false" outlineLevel="0" collapsed="false">
      <c r="A2285" s="2" t="s">
        <v>289</v>
      </c>
      <c r="B2285" s="2" t="s">
        <v>649</v>
      </c>
      <c r="C2285" s="2" t="s">
        <v>635</v>
      </c>
      <c r="D2285" s="2" t="s">
        <v>487</v>
      </c>
      <c r="E2285" s="2" t="s">
        <v>166</v>
      </c>
    </row>
    <row r="2286" customFormat="false" ht="15" hidden="false" customHeight="false" outlineLevel="0" collapsed="false">
      <c r="A2286" s="2" t="s">
        <v>289</v>
      </c>
      <c r="B2286" s="2" t="s">
        <v>650</v>
      </c>
      <c r="C2286" s="2" t="s">
        <v>635</v>
      </c>
      <c r="D2286" s="2" t="s">
        <v>651</v>
      </c>
      <c r="E2286" s="2" t="s">
        <v>169</v>
      </c>
    </row>
    <row r="2287" customFormat="false" ht="15" hidden="false" customHeight="false" outlineLevel="0" collapsed="false">
      <c r="A2287" s="2" t="s">
        <v>289</v>
      </c>
      <c r="B2287" s="2" t="s">
        <v>652</v>
      </c>
      <c r="C2287" s="2" t="s">
        <v>635</v>
      </c>
      <c r="D2287" s="2" t="s">
        <v>653</v>
      </c>
      <c r="E2287" s="2" t="s">
        <v>169</v>
      </c>
    </row>
    <row r="2288" customFormat="false" ht="15" hidden="false" customHeight="false" outlineLevel="0" collapsed="false">
      <c r="A2288" s="2" t="s">
        <v>289</v>
      </c>
      <c r="B2288" s="2" t="s">
        <v>654</v>
      </c>
      <c r="C2288" s="2" t="s">
        <v>635</v>
      </c>
      <c r="D2288" s="2" t="s">
        <v>655</v>
      </c>
      <c r="E2288" s="2" t="s">
        <v>169</v>
      </c>
    </row>
    <row r="2289" customFormat="false" ht="15" hidden="false" customHeight="false" outlineLevel="0" collapsed="false">
      <c r="A2289" s="2" t="s">
        <v>289</v>
      </c>
      <c r="B2289" s="2" t="s">
        <v>656</v>
      </c>
      <c r="C2289" s="2" t="s">
        <v>642</v>
      </c>
      <c r="D2289" s="2" t="s">
        <v>487</v>
      </c>
      <c r="E2289" s="2" t="s">
        <v>166</v>
      </c>
    </row>
    <row r="2290" customFormat="false" ht="15" hidden="false" customHeight="false" outlineLevel="0" collapsed="false">
      <c r="A2290" s="2" t="s">
        <v>289</v>
      </c>
      <c r="B2290" s="2" t="s">
        <v>320</v>
      </c>
      <c r="C2290" s="2" t="s">
        <v>642</v>
      </c>
      <c r="D2290" s="2" t="s">
        <v>657</v>
      </c>
      <c r="E2290" s="2" t="s">
        <v>169</v>
      </c>
    </row>
    <row r="2291" customFormat="false" ht="15" hidden="false" customHeight="false" outlineLevel="0" collapsed="false">
      <c r="A2291" s="2" t="s">
        <v>289</v>
      </c>
      <c r="B2291" s="2" t="s">
        <v>658</v>
      </c>
      <c r="C2291" s="2" t="s">
        <v>642</v>
      </c>
      <c r="D2291" s="2" t="s">
        <v>487</v>
      </c>
      <c r="E2291" s="2" t="s">
        <v>166</v>
      </c>
    </row>
    <row r="2292" customFormat="false" ht="15" hidden="false" customHeight="false" outlineLevel="0" collapsed="false">
      <c r="A2292" s="2" t="s">
        <v>289</v>
      </c>
      <c r="B2292" s="2" t="s">
        <v>324</v>
      </c>
      <c r="C2292" s="2" t="s">
        <v>642</v>
      </c>
      <c r="D2292" s="2" t="s">
        <v>610</v>
      </c>
      <c r="E2292" s="2" t="s">
        <v>166</v>
      </c>
    </row>
    <row r="2293" customFormat="false" ht="15" hidden="false" customHeight="false" outlineLevel="0" collapsed="false">
      <c r="A2293" s="2" t="s">
        <v>289</v>
      </c>
      <c r="B2293" s="2" t="s">
        <v>660</v>
      </c>
      <c r="C2293" s="2" t="s">
        <v>640</v>
      </c>
      <c r="D2293" s="2" t="s">
        <v>355</v>
      </c>
      <c r="E2293" s="2" t="s">
        <v>166</v>
      </c>
    </row>
    <row r="2294" customFormat="false" ht="15" hidden="false" customHeight="false" outlineLevel="0" collapsed="false">
      <c r="A2294" s="2" t="s">
        <v>289</v>
      </c>
      <c r="B2294" s="2" t="s">
        <v>661</v>
      </c>
      <c r="C2294" s="2" t="s">
        <v>641</v>
      </c>
      <c r="D2294" s="2" t="s">
        <v>355</v>
      </c>
      <c r="E2294" s="2" t="s">
        <v>166</v>
      </c>
    </row>
    <row r="2295" customFormat="false" ht="15" hidden="false" customHeight="false" outlineLevel="0" collapsed="false">
      <c r="A2295" s="2" t="s">
        <v>289</v>
      </c>
      <c r="B2295" s="2" t="s">
        <v>662</v>
      </c>
      <c r="C2295" s="2" t="s">
        <v>630</v>
      </c>
      <c r="D2295" s="2" t="s">
        <v>585</v>
      </c>
      <c r="E2295" s="2" t="s">
        <v>167</v>
      </c>
    </row>
    <row r="2296" customFormat="false" ht="15" hidden="false" customHeight="false" outlineLevel="0" collapsed="false">
      <c r="A2296" s="2" t="s">
        <v>289</v>
      </c>
      <c r="B2296" s="2" t="s">
        <v>667</v>
      </c>
      <c r="C2296" s="2" t="s">
        <v>638</v>
      </c>
      <c r="D2296" s="2" t="s">
        <v>668</v>
      </c>
      <c r="E2296" s="2" t="s">
        <v>166</v>
      </c>
    </row>
    <row r="2297" customFormat="false" ht="15" hidden="false" customHeight="false" outlineLevel="0" collapsed="false">
      <c r="A2297" s="2" t="s">
        <v>289</v>
      </c>
      <c r="B2297" s="2" t="s">
        <v>669</v>
      </c>
      <c r="C2297" s="2" t="s">
        <v>636</v>
      </c>
      <c r="D2297" s="2" t="s">
        <v>670</v>
      </c>
      <c r="E2297" s="2" t="s">
        <v>166</v>
      </c>
    </row>
    <row r="2298" customFormat="false" ht="15" hidden="false" customHeight="false" outlineLevel="0" collapsed="false">
      <c r="A2298" s="2" t="s">
        <v>289</v>
      </c>
      <c r="B2298" s="2" t="s">
        <v>671</v>
      </c>
      <c r="C2298" s="2" t="s">
        <v>632</v>
      </c>
      <c r="D2298" s="2" t="s">
        <v>672</v>
      </c>
      <c r="E2298" s="2" t="s">
        <v>166</v>
      </c>
    </row>
    <row r="2299" customFormat="false" ht="15" hidden="false" customHeight="false" outlineLevel="0" collapsed="false">
      <c r="A2299" s="2" t="s">
        <v>289</v>
      </c>
      <c r="B2299" s="2" t="s">
        <v>675</v>
      </c>
      <c r="C2299" s="2" t="s">
        <v>632</v>
      </c>
      <c r="D2299" s="2" t="s">
        <v>523</v>
      </c>
      <c r="E2299" s="2" t="s">
        <v>168</v>
      </c>
    </row>
    <row r="2300" customFormat="false" ht="15" hidden="false" customHeight="false" outlineLevel="0" collapsed="false">
      <c r="A2300" s="2" t="s">
        <v>289</v>
      </c>
      <c r="B2300" s="2" t="s">
        <v>412</v>
      </c>
      <c r="C2300" s="2" t="s">
        <v>632</v>
      </c>
      <c r="D2300" s="2" t="s">
        <v>523</v>
      </c>
      <c r="E2300" s="2" t="s">
        <v>168</v>
      </c>
    </row>
    <row r="2301" customFormat="false" ht="15" hidden="false" customHeight="false" outlineLevel="0" collapsed="false">
      <c r="A2301" s="2" t="s">
        <v>289</v>
      </c>
      <c r="B2301" s="2" t="s">
        <v>693</v>
      </c>
      <c r="C2301" s="2" t="s">
        <v>632</v>
      </c>
      <c r="D2301" s="2" t="s">
        <v>523</v>
      </c>
      <c r="E2301" s="2" t="s">
        <v>170</v>
      </c>
    </row>
    <row r="2302" customFormat="false" ht="15" hidden="false" customHeight="false" outlineLevel="0" collapsed="false">
      <c r="A2302" s="2" t="s">
        <v>289</v>
      </c>
      <c r="B2302" s="2" t="s">
        <v>694</v>
      </c>
      <c r="C2302" s="2" t="s">
        <v>633</v>
      </c>
      <c r="D2302" s="2" t="s">
        <v>677</v>
      </c>
      <c r="E2302" s="2" t="s">
        <v>166</v>
      </c>
    </row>
    <row r="2303" customFormat="false" ht="15" hidden="false" customHeight="false" outlineLevel="0" collapsed="false">
      <c r="A2303" s="2" t="s">
        <v>289</v>
      </c>
      <c r="B2303" s="2" t="s">
        <v>678</v>
      </c>
      <c r="C2303" s="2" t="s">
        <v>634</v>
      </c>
      <c r="D2303" s="2" t="s">
        <v>695</v>
      </c>
      <c r="E2303" s="2" t="s">
        <v>169</v>
      </c>
    </row>
    <row r="2304" customFormat="false" ht="15" hidden="false" customHeight="false" outlineLevel="0" collapsed="false">
      <c r="A2304" s="2" t="s">
        <v>289</v>
      </c>
      <c r="B2304" s="2" t="s">
        <v>680</v>
      </c>
      <c r="C2304" s="2" t="s">
        <v>629</v>
      </c>
      <c r="D2304" s="2" t="s">
        <v>681</v>
      </c>
      <c r="E2304" s="2" t="s">
        <v>169</v>
      </c>
    </row>
    <row r="2305" customFormat="false" ht="15" hidden="false" customHeight="false" outlineLevel="0" collapsed="false">
      <c r="A2305" s="2" t="s">
        <v>289</v>
      </c>
      <c r="B2305" s="2" t="s">
        <v>370</v>
      </c>
      <c r="C2305" s="2" t="s">
        <v>627</v>
      </c>
      <c r="D2305" s="2" t="s">
        <v>682</v>
      </c>
      <c r="E2305" s="2" t="s">
        <v>166</v>
      </c>
    </row>
    <row r="2306" customFormat="false" ht="15" hidden="false" customHeight="false" outlineLevel="0" collapsed="false">
      <c r="A2306" s="2" t="s">
        <v>289</v>
      </c>
      <c r="B2306" s="2" t="s">
        <v>696</v>
      </c>
      <c r="C2306" s="2" t="s">
        <v>627</v>
      </c>
      <c r="D2306" s="2" t="s">
        <v>402</v>
      </c>
      <c r="E2306" s="2" t="s">
        <v>168</v>
      </c>
    </row>
    <row r="2307" customFormat="false" ht="15" hidden="false" customHeight="false" outlineLevel="0" collapsed="false">
      <c r="A2307" s="2" t="s">
        <v>289</v>
      </c>
      <c r="B2307" s="2" t="s">
        <v>697</v>
      </c>
      <c r="C2307" s="2" t="s">
        <v>627</v>
      </c>
      <c r="D2307" s="2" t="s">
        <v>402</v>
      </c>
      <c r="E2307" s="2" t="s">
        <v>168</v>
      </c>
    </row>
    <row r="2308" customFormat="false" ht="15" hidden="false" customHeight="false" outlineLevel="0" collapsed="false">
      <c r="A2308" s="2" t="s">
        <v>289</v>
      </c>
      <c r="B2308" s="2" t="s">
        <v>683</v>
      </c>
      <c r="C2308" s="2" t="s">
        <v>627</v>
      </c>
      <c r="D2308" s="2" t="s">
        <v>402</v>
      </c>
      <c r="E2308" s="2" t="s">
        <v>168</v>
      </c>
    </row>
    <row r="2309" customFormat="false" ht="15" hidden="false" customHeight="false" outlineLevel="0" collapsed="false">
      <c r="A2309" s="2" t="s">
        <v>289</v>
      </c>
      <c r="B2309" s="2" t="s">
        <v>684</v>
      </c>
      <c r="C2309" s="2" t="s">
        <v>627</v>
      </c>
      <c r="D2309" s="2" t="s">
        <v>402</v>
      </c>
      <c r="E2309" s="2" t="s">
        <v>168</v>
      </c>
    </row>
    <row r="2310" customFormat="false" ht="15" hidden="false" customHeight="false" outlineLevel="0" collapsed="false">
      <c r="A2310" s="2" t="s">
        <v>289</v>
      </c>
      <c r="B2310" s="2" t="s">
        <v>410</v>
      </c>
      <c r="C2310" s="2" t="s">
        <v>627</v>
      </c>
      <c r="D2310" s="2" t="s">
        <v>402</v>
      </c>
      <c r="E2310" s="2" t="s">
        <v>168</v>
      </c>
    </row>
    <row r="2311" customFormat="false" ht="15" hidden="false" customHeight="false" outlineLevel="0" collapsed="false">
      <c r="A2311" s="2" t="s">
        <v>289</v>
      </c>
      <c r="B2311" s="2" t="s">
        <v>686</v>
      </c>
      <c r="C2311" s="2" t="s">
        <v>628</v>
      </c>
      <c r="D2311" s="2" t="s">
        <v>687</v>
      </c>
      <c r="E2311" s="2" t="s">
        <v>166</v>
      </c>
    </row>
    <row r="2312" customFormat="false" ht="15" hidden="false" customHeight="false" outlineLevel="0" collapsed="false">
      <c r="A2312" s="2" t="s">
        <v>289</v>
      </c>
      <c r="B2312" s="2" t="s">
        <v>688</v>
      </c>
      <c r="C2312" s="2" t="s">
        <v>645</v>
      </c>
      <c r="D2312" s="2" t="s">
        <v>373</v>
      </c>
      <c r="E2312" s="2" t="s">
        <v>170</v>
      </c>
    </row>
    <row r="2313" customFormat="false" ht="15" hidden="false" customHeight="false" outlineLevel="0" collapsed="false">
      <c r="A2313" s="2" t="s">
        <v>289</v>
      </c>
      <c r="B2313" s="2" t="s">
        <v>689</v>
      </c>
      <c r="C2313" s="2" t="s">
        <v>645</v>
      </c>
      <c r="D2313" s="2" t="s">
        <v>690</v>
      </c>
      <c r="E2313" s="2" t="s">
        <v>167</v>
      </c>
    </row>
    <row r="2314" customFormat="false" ht="15" hidden="false" customHeight="false" outlineLevel="0" collapsed="false">
      <c r="A2314" s="2" t="s">
        <v>289</v>
      </c>
      <c r="B2314" s="2" t="s">
        <v>691</v>
      </c>
      <c r="C2314" s="2" t="s">
        <v>645</v>
      </c>
      <c r="D2314" s="2" t="s">
        <v>690</v>
      </c>
      <c r="E2314" s="2" t="s">
        <v>167</v>
      </c>
    </row>
    <row r="2315" customFormat="false" ht="15" hidden="false" customHeight="false" outlineLevel="0" collapsed="false">
      <c r="A2315" s="2" t="s">
        <v>290</v>
      </c>
      <c r="B2315" s="2" t="s">
        <v>649</v>
      </c>
      <c r="C2315" s="2" t="s">
        <v>635</v>
      </c>
      <c r="D2315" s="2" t="s">
        <v>487</v>
      </c>
      <c r="E2315" s="2" t="s">
        <v>166</v>
      </c>
    </row>
    <row r="2316" customFormat="false" ht="15" hidden="false" customHeight="false" outlineLevel="0" collapsed="false">
      <c r="A2316" s="2" t="s">
        <v>290</v>
      </c>
      <c r="B2316" s="2" t="s">
        <v>650</v>
      </c>
      <c r="C2316" s="2" t="s">
        <v>635</v>
      </c>
      <c r="D2316" s="2" t="s">
        <v>651</v>
      </c>
      <c r="E2316" s="2" t="s">
        <v>169</v>
      </c>
    </row>
    <row r="2317" customFormat="false" ht="15" hidden="false" customHeight="false" outlineLevel="0" collapsed="false">
      <c r="A2317" s="2" t="s">
        <v>290</v>
      </c>
      <c r="B2317" s="2" t="s">
        <v>652</v>
      </c>
      <c r="C2317" s="2" t="s">
        <v>635</v>
      </c>
      <c r="D2317" s="2" t="s">
        <v>653</v>
      </c>
      <c r="E2317" s="2" t="s">
        <v>169</v>
      </c>
    </row>
    <row r="2318" customFormat="false" ht="15" hidden="false" customHeight="false" outlineLevel="0" collapsed="false">
      <c r="A2318" s="2" t="s">
        <v>290</v>
      </c>
      <c r="B2318" s="2" t="s">
        <v>654</v>
      </c>
      <c r="C2318" s="2" t="s">
        <v>635</v>
      </c>
      <c r="D2318" s="2" t="s">
        <v>655</v>
      </c>
      <c r="E2318" s="2" t="s">
        <v>169</v>
      </c>
    </row>
    <row r="2319" customFormat="false" ht="15" hidden="false" customHeight="false" outlineLevel="0" collapsed="false">
      <c r="A2319" s="2" t="s">
        <v>290</v>
      </c>
      <c r="B2319" s="2" t="s">
        <v>656</v>
      </c>
      <c r="C2319" s="2" t="s">
        <v>642</v>
      </c>
      <c r="D2319" s="2" t="s">
        <v>487</v>
      </c>
      <c r="E2319" s="2" t="s">
        <v>166</v>
      </c>
    </row>
    <row r="2320" customFormat="false" ht="15" hidden="false" customHeight="false" outlineLevel="0" collapsed="false">
      <c r="A2320" s="2" t="s">
        <v>290</v>
      </c>
      <c r="B2320" s="2" t="s">
        <v>320</v>
      </c>
      <c r="C2320" s="2" t="s">
        <v>642</v>
      </c>
      <c r="D2320" s="2" t="s">
        <v>657</v>
      </c>
      <c r="E2320" s="2" t="s">
        <v>169</v>
      </c>
    </row>
    <row r="2321" customFormat="false" ht="15" hidden="false" customHeight="false" outlineLevel="0" collapsed="false">
      <c r="A2321" s="2" t="s">
        <v>290</v>
      </c>
      <c r="B2321" s="2" t="s">
        <v>658</v>
      </c>
      <c r="C2321" s="2" t="s">
        <v>642</v>
      </c>
      <c r="D2321" s="2" t="s">
        <v>487</v>
      </c>
      <c r="E2321" s="2" t="s">
        <v>166</v>
      </c>
    </row>
    <row r="2322" customFormat="false" ht="15" hidden="false" customHeight="false" outlineLevel="0" collapsed="false">
      <c r="A2322" s="2" t="s">
        <v>290</v>
      </c>
      <c r="B2322" s="2" t="s">
        <v>324</v>
      </c>
      <c r="C2322" s="2" t="s">
        <v>642</v>
      </c>
      <c r="D2322" s="2" t="s">
        <v>610</v>
      </c>
      <c r="E2322" s="2" t="s">
        <v>166</v>
      </c>
    </row>
    <row r="2323" customFormat="false" ht="15" hidden="false" customHeight="false" outlineLevel="0" collapsed="false">
      <c r="A2323" s="2" t="s">
        <v>290</v>
      </c>
      <c r="B2323" s="2" t="s">
        <v>660</v>
      </c>
      <c r="C2323" s="2" t="s">
        <v>640</v>
      </c>
      <c r="D2323" s="2" t="s">
        <v>355</v>
      </c>
      <c r="E2323" s="2" t="s">
        <v>166</v>
      </c>
    </row>
    <row r="2324" customFormat="false" ht="15" hidden="false" customHeight="false" outlineLevel="0" collapsed="false">
      <c r="A2324" s="2" t="s">
        <v>290</v>
      </c>
      <c r="B2324" s="2" t="s">
        <v>661</v>
      </c>
      <c r="C2324" s="2" t="s">
        <v>641</v>
      </c>
      <c r="D2324" s="2" t="s">
        <v>355</v>
      </c>
      <c r="E2324" s="2" t="s">
        <v>166</v>
      </c>
    </row>
    <row r="2325" customFormat="false" ht="15" hidden="false" customHeight="false" outlineLevel="0" collapsed="false">
      <c r="A2325" s="2" t="s">
        <v>290</v>
      </c>
      <c r="B2325" s="2" t="s">
        <v>662</v>
      </c>
      <c r="C2325" s="2" t="s">
        <v>630</v>
      </c>
      <c r="D2325" s="2" t="s">
        <v>585</v>
      </c>
      <c r="E2325" s="2" t="s">
        <v>167</v>
      </c>
    </row>
    <row r="2326" customFormat="false" ht="15" hidden="false" customHeight="false" outlineLevel="0" collapsed="false">
      <c r="A2326" s="2" t="s">
        <v>290</v>
      </c>
      <c r="B2326" s="2" t="s">
        <v>667</v>
      </c>
      <c r="C2326" s="2" t="s">
        <v>638</v>
      </c>
      <c r="D2326" s="2" t="s">
        <v>668</v>
      </c>
      <c r="E2326" s="2" t="s">
        <v>166</v>
      </c>
    </row>
    <row r="2327" customFormat="false" ht="15" hidden="false" customHeight="false" outlineLevel="0" collapsed="false">
      <c r="A2327" s="2" t="s">
        <v>290</v>
      </c>
      <c r="B2327" s="2" t="s">
        <v>669</v>
      </c>
      <c r="C2327" s="2" t="s">
        <v>636</v>
      </c>
      <c r="D2327" s="2" t="s">
        <v>670</v>
      </c>
      <c r="E2327" s="2" t="s">
        <v>166</v>
      </c>
    </row>
    <row r="2328" customFormat="false" ht="15" hidden="false" customHeight="false" outlineLevel="0" collapsed="false">
      <c r="A2328" s="2" t="s">
        <v>290</v>
      </c>
      <c r="B2328" s="2" t="s">
        <v>671</v>
      </c>
      <c r="C2328" s="2" t="s">
        <v>632</v>
      </c>
      <c r="D2328" s="2" t="s">
        <v>672</v>
      </c>
      <c r="E2328" s="2" t="s">
        <v>166</v>
      </c>
    </row>
    <row r="2329" customFormat="false" ht="15" hidden="false" customHeight="false" outlineLevel="0" collapsed="false">
      <c r="A2329" s="2" t="s">
        <v>290</v>
      </c>
      <c r="B2329" s="2" t="s">
        <v>673</v>
      </c>
      <c r="C2329" s="2" t="s">
        <v>632</v>
      </c>
      <c r="D2329" s="2" t="s">
        <v>523</v>
      </c>
      <c r="E2329" s="2" t="s">
        <v>168</v>
      </c>
    </row>
    <row r="2330" customFormat="false" ht="15" hidden="false" customHeight="false" outlineLevel="0" collapsed="false">
      <c r="A2330" s="2" t="s">
        <v>290</v>
      </c>
      <c r="B2330" s="2" t="s">
        <v>674</v>
      </c>
      <c r="C2330" s="2" t="s">
        <v>632</v>
      </c>
      <c r="D2330" s="2" t="s">
        <v>523</v>
      </c>
      <c r="E2330" s="2" t="s">
        <v>168</v>
      </c>
    </row>
    <row r="2331" customFormat="false" ht="15" hidden="false" customHeight="false" outlineLevel="0" collapsed="false">
      <c r="A2331" s="2" t="s">
        <v>290</v>
      </c>
      <c r="B2331" s="2" t="s">
        <v>692</v>
      </c>
      <c r="C2331" s="2" t="s">
        <v>632</v>
      </c>
      <c r="D2331" s="2" t="s">
        <v>523</v>
      </c>
      <c r="E2331" s="2" t="s">
        <v>168</v>
      </c>
    </row>
    <row r="2332" customFormat="false" ht="15" hidden="false" customHeight="false" outlineLevel="0" collapsed="false">
      <c r="A2332" s="2" t="s">
        <v>290</v>
      </c>
      <c r="B2332" s="2" t="s">
        <v>675</v>
      </c>
      <c r="C2332" s="2" t="s">
        <v>632</v>
      </c>
      <c r="D2332" s="2" t="s">
        <v>523</v>
      </c>
      <c r="E2332" s="2" t="s">
        <v>168</v>
      </c>
    </row>
    <row r="2333" customFormat="false" ht="15" hidden="false" customHeight="false" outlineLevel="0" collapsed="false">
      <c r="A2333" s="2" t="s">
        <v>290</v>
      </c>
      <c r="B2333" s="2" t="s">
        <v>702</v>
      </c>
      <c r="C2333" s="2" t="s">
        <v>632</v>
      </c>
      <c r="D2333" s="2" t="s">
        <v>523</v>
      </c>
      <c r="E2333" s="2" t="s">
        <v>168</v>
      </c>
    </row>
    <row r="2334" customFormat="false" ht="15" hidden="false" customHeight="false" outlineLevel="0" collapsed="false">
      <c r="A2334" s="2" t="s">
        <v>290</v>
      </c>
      <c r="B2334" s="2" t="s">
        <v>412</v>
      </c>
      <c r="C2334" s="2" t="s">
        <v>632</v>
      </c>
      <c r="D2334" s="2" t="s">
        <v>523</v>
      </c>
      <c r="E2334" s="2" t="s">
        <v>168</v>
      </c>
    </row>
    <row r="2335" customFormat="false" ht="15" hidden="false" customHeight="false" outlineLevel="0" collapsed="false">
      <c r="A2335" s="2" t="s">
        <v>290</v>
      </c>
      <c r="B2335" s="2" t="s">
        <v>676</v>
      </c>
      <c r="C2335" s="2" t="s">
        <v>633</v>
      </c>
      <c r="D2335" s="2" t="s">
        <v>677</v>
      </c>
      <c r="E2335" s="2" t="s">
        <v>166</v>
      </c>
    </row>
    <row r="2336" customFormat="false" ht="15" hidden="false" customHeight="false" outlineLevel="0" collapsed="false">
      <c r="A2336" s="2" t="s">
        <v>290</v>
      </c>
      <c r="B2336" s="2" t="s">
        <v>678</v>
      </c>
      <c r="C2336" s="2" t="s">
        <v>634</v>
      </c>
      <c r="D2336" s="2" t="s">
        <v>679</v>
      </c>
      <c r="E2336" s="2" t="s">
        <v>166</v>
      </c>
    </row>
    <row r="2337" customFormat="false" ht="15" hidden="false" customHeight="false" outlineLevel="0" collapsed="false">
      <c r="A2337" s="2" t="s">
        <v>290</v>
      </c>
      <c r="B2337" s="2" t="s">
        <v>680</v>
      </c>
      <c r="C2337" s="2" t="s">
        <v>629</v>
      </c>
      <c r="D2337" s="2" t="s">
        <v>703</v>
      </c>
      <c r="E2337" s="2" t="s">
        <v>166</v>
      </c>
    </row>
    <row r="2338" customFormat="false" ht="15" hidden="false" customHeight="false" outlineLevel="0" collapsed="false">
      <c r="A2338" s="2" t="s">
        <v>290</v>
      </c>
      <c r="B2338" s="2" t="s">
        <v>370</v>
      </c>
      <c r="C2338" s="2" t="s">
        <v>627</v>
      </c>
      <c r="D2338" s="2" t="s">
        <v>682</v>
      </c>
      <c r="E2338" s="2" t="s">
        <v>166</v>
      </c>
    </row>
    <row r="2339" customFormat="false" ht="15" hidden="false" customHeight="false" outlineLevel="0" collapsed="false">
      <c r="A2339" s="2" t="s">
        <v>290</v>
      </c>
      <c r="B2339" s="2" t="s">
        <v>684</v>
      </c>
      <c r="C2339" s="2" t="s">
        <v>627</v>
      </c>
      <c r="D2339" s="2" t="s">
        <v>402</v>
      </c>
      <c r="E2339" s="2" t="s">
        <v>168</v>
      </c>
    </row>
    <row r="2340" customFormat="false" ht="15" hidden="false" customHeight="false" outlineLevel="0" collapsed="false">
      <c r="A2340" s="2" t="s">
        <v>290</v>
      </c>
      <c r="B2340" s="2" t="s">
        <v>410</v>
      </c>
      <c r="C2340" s="2" t="s">
        <v>627</v>
      </c>
      <c r="D2340" s="2" t="s">
        <v>402</v>
      </c>
      <c r="E2340" s="2" t="s">
        <v>168</v>
      </c>
    </row>
    <row r="2341" customFormat="false" ht="15" hidden="false" customHeight="false" outlineLevel="0" collapsed="false">
      <c r="A2341" s="2" t="s">
        <v>290</v>
      </c>
      <c r="B2341" s="2" t="s">
        <v>685</v>
      </c>
      <c r="C2341" s="2" t="s">
        <v>627</v>
      </c>
      <c r="D2341" s="2" t="s">
        <v>402</v>
      </c>
      <c r="E2341" s="2" t="s">
        <v>170</v>
      </c>
    </row>
    <row r="2342" customFormat="false" ht="15" hidden="false" customHeight="false" outlineLevel="0" collapsed="false">
      <c r="A2342" s="2" t="s">
        <v>290</v>
      </c>
      <c r="B2342" s="2" t="s">
        <v>686</v>
      </c>
      <c r="C2342" s="2" t="s">
        <v>628</v>
      </c>
      <c r="D2342" s="2" t="s">
        <v>687</v>
      </c>
      <c r="E2342" s="2" t="s">
        <v>166</v>
      </c>
    </row>
    <row r="2343" customFormat="false" ht="15" hidden="false" customHeight="false" outlineLevel="0" collapsed="false">
      <c r="A2343" s="2" t="s">
        <v>290</v>
      </c>
      <c r="B2343" s="2" t="s">
        <v>688</v>
      </c>
      <c r="C2343" s="2" t="s">
        <v>645</v>
      </c>
      <c r="D2343" s="2" t="s">
        <v>373</v>
      </c>
      <c r="E2343" s="2" t="s">
        <v>170</v>
      </c>
    </row>
    <row r="2344" customFormat="false" ht="15" hidden="false" customHeight="false" outlineLevel="0" collapsed="false">
      <c r="A2344" s="2" t="s">
        <v>290</v>
      </c>
      <c r="B2344" s="2" t="s">
        <v>709</v>
      </c>
      <c r="C2344" s="2" t="s">
        <v>645</v>
      </c>
      <c r="D2344" s="2" t="s">
        <v>710</v>
      </c>
      <c r="E2344" s="2" t="s">
        <v>167</v>
      </c>
    </row>
    <row r="2345" customFormat="false" ht="15" hidden="false" customHeight="false" outlineLevel="0" collapsed="false">
      <c r="A2345" s="2" t="s">
        <v>291</v>
      </c>
      <c r="B2345" s="2" t="s">
        <v>649</v>
      </c>
      <c r="C2345" s="2" t="s">
        <v>635</v>
      </c>
      <c r="D2345" s="2" t="s">
        <v>487</v>
      </c>
      <c r="E2345" s="2" t="s">
        <v>166</v>
      </c>
    </row>
    <row r="2346" customFormat="false" ht="15" hidden="false" customHeight="false" outlineLevel="0" collapsed="false">
      <c r="A2346" s="2" t="s">
        <v>291</v>
      </c>
      <c r="B2346" s="2" t="s">
        <v>650</v>
      </c>
      <c r="C2346" s="2" t="s">
        <v>635</v>
      </c>
      <c r="D2346" s="2" t="s">
        <v>651</v>
      </c>
      <c r="E2346" s="2" t="s">
        <v>169</v>
      </c>
    </row>
    <row r="2347" customFormat="false" ht="15" hidden="false" customHeight="false" outlineLevel="0" collapsed="false">
      <c r="A2347" s="2" t="s">
        <v>291</v>
      </c>
      <c r="B2347" s="2" t="s">
        <v>652</v>
      </c>
      <c r="C2347" s="2" t="s">
        <v>635</v>
      </c>
      <c r="D2347" s="2" t="s">
        <v>653</v>
      </c>
      <c r="E2347" s="2" t="s">
        <v>169</v>
      </c>
    </row>
    <row r="2348" customFormat="false" ht="15" hidden="false" customHeight="false" outlineLevel="0" collapsed="false">
      <c r="A2348" s="2" t="s">
        <v>291</v>
      </c>
      <c r="B2348" s="2" t="s">
        <v>654</v>
      </c>
      <c r="C2348" s="2" t="s">
        <v>635</v>
      </c>
      <c r="D2348" s="2" t="s">
        <v>655</v>
      </c>
      <c r="E2348" s="2" t="s">
        <v>169</v>
      </c>
    </row>
    <row r="2349" customFormat="false" ht="15" hidden="false" customHeight="false" outlineLevel="0" collapsed="false">
      <c r="A2349" s="2" t="s">
        <v>291</v>
      </c>
      <c r="B2349" s="2" t="s">
        <v>656</v>
      </c>
      <c r="C2349" s="2" t="s">
        <v>642</v>
      </c>
      <c r="D2349" s="2" t="s">
        <v>487</v>
      </c>
      <c r="E2349" s="2" t="s">
        <v>166</v>
      </c>
    </row>
    <row r="2350" customFormat="false" ht="15" hidden="false" customHeight="false" outlineLevel="0" collapsed="false">
      <c r="A2350" s="2" t="s">
        <v>291</v>
      </c>
      <c r="B2350" s="2" t="s">
        <v>320</v>
      </c>
      <c r="C2350" s="2" t="s">
        <v>642</v>
      </c>
      <c r="D2350" s="2" t="s">
        <v>579</v>
      </c>
      <c r="E2350" s="2" t="s">
        <v>167</v>
      </c>
    </row>
    <row r="2351" customFormat="false" ht="15" hidden="false" customHeight="false" outlineLevel="0" collapsed="false">
      <c r="A2351" s="2" t="s">
        <v>291</v>
      </c>
      <c r="B2351" s="2" t="s">
        <v>658</v>
      </c>
      <c r="C2351" s="2" t="s">
        <v>642</v>
      </c>
      <c r="D2351" s="2" t="s">
        <v>487</v>
      </c>
      <c r="E2351" s="2" t="s">
        <v>166</v>
      </c>
    </row>
    <row r="2352" customFormat="false" ht="15" hidden="false" customHeight="false" outlineLevel="0" collapsed="false">
      <c r="A2352" s="2" t="s">
        <v>291</v>
      </c>
      <c r="B2352" s="2" t="s">
        <v>324</v>
      </c>
      <c r="C2352" s="2" t="s">
        <v>642</v>
      </c>
      <c r="D2352" s="2" t="s">
        <v>610</v>
      </c>
      <c r="E2352" s="2" t="s">
        <v>166</v>
      </c>
    </row>
    <row r="2353" customFormat="false" ht="15" hidden="false" customHeight="false" outlineLevel="0" collapsed="false">
      <c r="A2353" s="2" t="s">
        <v>291</v>
      </c>
      <c r="B2353" s="2" t="s">
        <v>660</v>
      </c>
      <c r="C2353" s="2" t="s">
        <v>640</v>
      </c>
      <c r="D2353" s="2" t="s">
        <v>355</v>
      </c>
      <c r="E2353" s="2" t="s">
        <v>166</v>
      </c>
    </row>
    <row r="2354" customFormat="false" ht="15" hidden="false" customHeight="false" outlineLevel="0" collapsed="false">
      <c r="A2354" s="2" t="s">
        <v>291</v>
      </c>
      <c r="B2354" s="2" t="s">
        <v>661</v>
      </c>
      <c r="C2354" s="2" t="s">
        <v>641</v>
      </c>
      <c r="D2354" s="2" t="s">
        <v>355</v>
      </c>
      <c r="E2354" s="2" t="s">
        <v>166</v>
      </c>
    </row>
    <row r="2355" customFormat="false" ht="15" hidden="false" customHeight="false" outlineLevel="0" collapsed="false">
      <c r="A2355" s="2" t="s">
        <v>291</v>
      </c>
      <c r="B2355" s="2" t="s">
        <v>707</v>
      </c>
      <c r="C2355" s="2" t="s">
        <v>637</v>
      </c>
      <c r="D2355" s="2" t="s">
        <v>505</v>
      </c>
      <c r="E2355" s="2" t="s">
        <v>166</v>
      </c>
    </row>
    <row r="2356" customFormat="false" ht="15" hidden="false" customHeight="false" outlineLevel="0" collapsed="false">
      <c r="A2356" s="2" t="s">
        <v>291</v>
      </c>
      <c r="B2356" s="2" t="s">
        <v>716</v>
      </c>
      <c r="C2356" s="2" t="s">
        <v>512</v>
      </c>
      <c r="D2356" s="2" t="s">
        <v>510</v>
      </c>
      <c r="E2356" s="2" t="s">
        <v>166</v>
      </c>
    </row>
    <row r="2357" customFormat="false" ht="15" hidden="false" customHeight="false" outlineLevel="0" collapsed="false">
      <c r="A2357" s="2" t="s">
        <v>291</v>
      </c>
      <c r="B2357" s="2" t="s">
        <v>662</v>
      </c>
      <c r="C2357" s="2" t="s">
        <v>630</v>
      </c>
      <c r="D2357" s="2" t="s">
        <v>585</v>
      </c>
      <c r="E2357" s="2" t="s">
        <v>167</v>
      </c>
    </row>
    <row r="2358" customFormat="false" ht="15" hidden="false" customHeight="false" outlineLevel="0" collapsed="false">
      <c r="A2358" s="2" t="s">
        <v>291</v>
      </c>
      <c r="B2358" s="2" t="s">
        <v>667</v>
      </c>
      <c r="C2358" s="2" t="s">
        <v>638</v>
      </c>
      <c r="D2358" s="2" t="s">
        <v>668</v>
      </c>
      <c r="E2358" s="2" t="s">
        <v>166</v>
      </c>
    </row>
    <row r="2359" customFormat="false" ht="15" hidden="false" customHeight="false" outlineLevel="0" collapsed="false">
      <c r="A2359" s="2" t="s">
        <v>291</v>
      </c>
      <c r="B2359" s="2" t="s">
        <v>669</v>
      </c>
      <c r="C2359" s="2" t="s">
        <v>636</v>
      </c>
      <c r="D2359" s="2" t="s">
        <v>670</v>
      </c>
      <c r="E2359" s="2" t="s">
        <v>166</v>
      </c>
    </row>
    <row r="2360" customFormat="false" ht="15" hidden="false" customHeight="false" outlineLevel="0" collapsed="false">
      <c r="A2360" s="2" t="s">
        <v>291</v>
      </c>
      <c r="B2360" s="2" t="s">
        <v>700</v>
      </c>
      <c r="C2360" s="2" t="s">
        <v>558</v>
      </c>
      <c r="D2360" s="2" t="s">
        <v>701</v>
      </c>
      <c r="E2360" s="2" t="s">
        <v>166</v>
      </c>
    </row>
    <row r="2361" customFormat="false" ht="15" hidden="false" customHeight="false" outlineLevel="0" collapsed="false">
      <c r="A2361" s="2" t="s">
        <v>291</v>
      </c>
      <c r="B2361" s="2" t="s">
        <v>671</v>
      </c>
      <c r="C2361" s="2" t="s">
        <v>632</v>
      </c>
      <c r="D2361" s="2" t="s">
        <v>672</v>
      </c>
      <c r="E2361" s="2" t="s">
        <v>166</v>
      </c>
    </row>
    <row r="2362" customFormat="false" ht="15" hidden="false" customHeight="false" outlineLevel="0" collapsed="false">
      <c r="A2362" s="2" t="s">
        <v>291</v>
      </c>
      <c r="B2362" s="2" t="s">
        <v>675</v>
      </c>
      <c r="C2362" s="2" t="s">
        <v>632</v>
      </c>
      <c r="D2362" s="2" t="s">
        <v>523</v>
      </c>
      <c r="E2362" s="2" t="s">
        <v>168</v>
      </c>
    </row>
    <row r="2363" customFormat="false" ht="15" hidden="false" customHeight="false" outlineLevel="0" collapsed="false">
      <c r="A2363" s="2" t="s">
        <v>291</v>
      </c>
      <c r="B2363" s="2" t="s">
        <v>412</v>
      </c>
      <c r="C2363" s="2" t="s">
        <v>632</v>
      </c>
      <c r="D2363" s="2" t="s">
        <v>523</v>
      </c>
      <c r="E2363" s="2" t="s">
        <v>168</v>
      </c>
    </row>
    <row r="2364" customFormat="false" ht="15" hidden="false" customHeight="false" outlineLevel="0" collapsed="false">
      <c r="A2364" s="2" t="s">
        <v>291</v>
      </c>
      <c r="B2364" s="2" t="s">
        <v>693</v>
      </c>
      <c r="C2364" s="2" t="s">
        <v>632</v>
      </c>
      <c r="D2364" s="2" t="s">
        <v>523</v>
      </c>
      <c r="E2364" s="2" t="s">
        <v>170</v>
      </c>
    </row>
    <row r="2365" customFormat="false" ht="15" hidden="false" customHeight="false" outlineLevel="0" collapsed="false">
      <c r="A2365" s="2" t="s">
        <v>291</v>
      </c>
      <c r="B2365" s="2" t="s">
        <v>694</v>
      </c>
      <c r="C2365" s="2" t="s">
        <v>633</v>
      </c>
      <c r="D2365" s="2" t="s">
        <v>677</v>
      </c>
      <c r="E2365" s="2" t="s">
        <v>166</v>
      </c>
    </row>
    <row r="2366" customFormat="false" ht="15" hidden="false" customHeight="false" outlineLevel="0" collapsed="false">
      <c r="A2366" s="2" t="s">
        <v>291</v>
      </c>
      <c r="B2366" s="2" t="s">
        <v>678</v>
      </c>
      <c r="C2366" s="2" t="s">
        <v>634</v>
      </c>
      <c r="D2366" s="2" t="s">
        <v>679</v>
      </c>
      <c r="E2366" s="2" t="s">
        <v>166</v>
      </c>
    </row>
    <row r="2367" customFormat="false" ht="15" hidden="false" customHeight="false" outlineLevel="0" collapsed="false">
      <c r="A2367" s="2" t="s">
        <v>291</v>
      </c>
      <c r="B2367" s="2" t="s">
        <v>680</v>
      </c>
      <c r="C2367" s="2" t="s">
        <v>629</v>
      </c>
      <c r="D2367" s="2" t="s">
        <v>681</v>
      </c>
      <c r="E2367" s="2" t="s">
        <v>169</v>
      </c>
    </row>
    <row r="2368" customFormat="false" ht="15" hidden="false" customHeight="false" outlineLevel="0" collapsed="false">
      <c r="A2368" s="2" t="s">
        <v>291</v>
      </c>
      <c r="B2368" s="2" t="s">
        <v>370</v>
      </c>
      <c r="C2368" s="2" t="s">
        <v>627</v>
      </c>
      <c r="D2368" s="2" t="s">
        <v>682</v>
      </c>
      <c r="E2368" s="2" t="s">
        <v>166</v>
      </c>
    </row>
    <row r="2369" customFormat="false" ht="15" hidden="false" customHeight="false" outlineLevel="0" collapsed="false">
      <c r="A2369" s="2" t="s">
        <v>291</v>
      </c>
      <c r="B2369" s="2" t="s">
        <v>696</v>
      </c>
      <c r="C2369" s="2" t="s">
        <v>627</v>
      </c>
      <c r="D2369" s="2" t="s">
        <v>402</v>
      </c>
      <c r="E2369" s="2" t="s">
        <v>168</v>
      </c>
    </row>
    <row r="2370" customFormat="false" ht="15" hidden="false" customHeight="false" outlineLevel="0" collapsed="false">
      <c r="A2370" s="2" t="s">
        <v>291</v>
      </c>
      <c r="B2370" s="2" t="s">
        <v>697</v>
      </c>
      <c r="C2370" s="2" t="s">
        <v>627</v>
      </c>
      <c r="D2370" s="2" t="s">
        <v>402</v>
      </c>
      <c r="E2370" s="2" t="s">
        <v>168</v>
      </c>
    </row>
    <row r="2371" customFormat="false" ht="15" hidden="false" customHeight="false" outlineLevel="0" collapsed="false">
      <c r="A2371" s="2" t="s">
        <v>291</v>
      </c>
      <c r="B2371" s="2" t="s">
        <v>683</v>
      </c>
      <c r="C2371" s="2" t="s">
        <v>627</v>
      </c>
      <c r="D2371" s="2" t="s">
        <v>402</v>
      </c>
      <c r="E2371" s="2" t="s">
        <v>168</v>
      </c>
    </row>
    <row r="2372" customFormat="false" ht="15" hidden="false" customHeight="false" outlineLevel="0" collapsed="false">
      <c r="A2372" s="2" t="s">
        <v>291</v>
      </c>
      <c r="B2372" s="2" t="s">
        <v>684</v>
      </c>
      <c r="C2372" s="2" t="s">
        <v>627</v>
      </c>
      <c r="D2372" s="2" t="s">
        <v>402</v>
      </c>
      <c r="E2372" s="2" t="s">
        <v>168</v>
      </c>
    </row>
    <row r="2373" customFormat="false" ht="15" hidden="false" customHeight="false" outlineLevel="0" collapsed="false">
      <c r="A2373" s="2" t="s">
        <v>291</v>
      </c>
      <c r="B2373" s="2" t="s">
        <v>410</v>
      </c>
      <c r="C2373" s="2" t="s">
        <v>627</v>
      </c>
      <c r="D2373" s="2" t="s">
        <v>402</v>
      </c>
      <c r="E2373" s="2" t="s">
        <v>168</v>
      </c>
    </row>
    <row r="2374" customFormat="false" ht="15" hidden="false" customHeight="false" outlineLevel="0" collapsed="false">
      <c r="A2374" s="2" t="s">
        <v>291</v>
      </c>
      <c r="B2374" s="2" t="s">
        <v>686</v>
      </c>
      <c r="C2374" s="2" t="s">
        <v>628</v>
      </c>
      <c r="D2374" s="2" t="s">
        <v>687</v>
      </c>
      <c r="E2374" s="2" t="s">
        <v>166</v>
      </c>
    </row>
    <row r="2375" customFormat="false" ht="15" hidden="false" customHeight="false" outlineLevel="0" collapsed="false">
      <c r="A2375" s="2" t="s">
        <v>291</v>
      </c>
      <c r="B2375" s="2" t="s">
        <v>711</v>
      </c>
      <c r="C2375" s="2" t="s">
        <v>644</v>
      </c>
      <c r="D2375" s="2" t="s">
        <v>604</v>
      </c>
      <c r="E2375" s="2" t="s">
        <v>170</v>
      </c>
    </row>
    <row r="2376" customFormat="false" ht="15" hidden="false" customHeight="false" outlineLevel="0" collapsed="false">
      <c r="A2376" s="2" t="s">
        <v>291</v>
      </c>
      <c r="B2376" s="2" t="s">
        <v>688</v>
      </c>
      <c r="C2376" s="2" t="s">
        <v>645</v>
      </c>
      <c r="D2376" s="2" t="s">
        <v>373</v>
      </c>
      <c r="E2376" s="2" t="s">
        <v>170</v>
      </c>
    </row>
    <row r="2377" customFormat="false" ht="15" hidden="false" customHeight="false" outlineLevel="0" collapsed="false">
      <c r="A2377" s="2" t="s">
        <v>291</v>
      </c>
      <c r="B2377" s="2" t="s">
        <v>689</v>
      </c>
      <c r="C2377" s="2" t="s">
        <v>645</v>
      </c>
      <c r="D2377" s="2" t="s">
        <v>690</v>
      </c>
      <c r="E2377" s="2" t="s">
        <v>167</v>
      </c>
    </row>
    <row r="2378" customFormat="false" ht="15" hidden="false" customHeight="false" outlineLevel="0" collapsed="false">
      <c r="A2378" s="2" t="s">
        <v>291</v>
      </c>
      <c r="B2378" s="2" t="s">
        <v>691</v>
      </c>
      <c r="C2378" s="2" t="s">
        <v>645</v>
      </c>
      <c r="D2378" s="2" t="s">
        <v>690</v>
      </c>
      <c r="E2378" s="2" t="s">
        <v>167</v>
      </c>
    </row>
    <row r="2379" customFormat="false" ht="15" hidden="false" customHeight="false" outlineLevel="0" collapsed="false">
      <c r="A2379" s="2" t="s">
        <v>293</v>
      </c>
      <c r="B2379" s="2" t="s">
        <v>649</v>
      </c>
      <c r="C2379" s="2" t="s">
        <v>635</v>
      </c>
      <c r="D2379" s="2" t="s">
        <v>487</v>
      </c>
      <c r="E2379" s="2" t="s">
        <v>166</v>
      </c>
    </row>
    <row r="2380" customFormat="false" ht="15" hidden="false" customHeight="false" outlineLevel="0" collapsed="false">
      <c r="A2380" s="2" t="s">
        <v>293</v>
      </c>
      <c r="B2380" s="2" t="s">
        <v>650</v>
      </c>
      <c r="C2380" s="2" t="s">
        <v>635</v>
      </c>
      <c r="D2380" s="2" t="s">
        <v>651</v>
      </c>
      <c r="E2380" s="2" t="s">
        <v>169</v>
      </c>
    </row>
    <row r="2381" customFormat="false" ht="15" hidden="false" customHeight="false" outlineLevel="0" collapsed="false">
      <c r="A2381" s="2" t="s">
        <v>293</v>
      </c>
      <c r="B2381" s="2" t="s">
        <v>652</v>
      </c>
      <c r="C2381" s="2" t="s">
        <v>635</v>
      </c>
      <c r="D2381" s="2" t="s">
        <v>653</v>
      </c>
      <c r="E2381" s="2" t="s">
        <v>169</v>
      </c>
    </row>
    <row r="2382" customFormat="false" ht="15" hidden="false" customHeight="false" outlineLevel="0" collapsed="false">
      <c r="A2382" s="2" t="s">
        <v>293</v>
      </c>
      <c r="B2382" s="2" t="s">
        <v>654</v>
      </c>
      <c r="C2382" s="2" t="s">
        <v>635</v>
      </c>
      <c r="D2382" s="2" t="s">
        <v>655</v>
      </c>
      <c r="E2382" s="2" t="s">
        <v>169</v>
      </c>
    </row>
    <row r="2383" customFormat="false" ht="15" hidden="false" customHeight="false" outlineLevel="0" collapsed="false">
      <c r="A2383" s="2" t="s">
        <v>293</v>
      </c>
      <c r="B2383" s="2" t="s">
        <v>656</v>
      </c>
      <c r="C2383" s="2" t="s">
        <v>642</v>
      </c>
      <c r="D2383" s="2" t="s">
        <v>487</v>
      </c>
      <c r="E2383" s="2" t="s">
        <v>166</v>
      </c>
    </row>
    <row r="2384" customFormat="false" ht="15" hidden="false" customHeight="false" outlineLevel="0" collapsed="false">
      <c r="A2384" s="2" t="s">
        <v>293</v>
      </c>
      <c r="B2384" s="2" t="s">
        <v>320</v>
      </c>
      <c r="C2384" s="2" t="s">
        <v>642</v>
      </c>
      <c r="D2384" s="2" t="s">
        <v>657</v>
      </c>
      <c r="E2384" s="2" t="s">
        <v>169</v>
      </c>
    </row>
    <row r="2385" customFormat="false" ht="15" hidden="false" customHeight="false" outlineLevel="0" collapsed="false">
      <c r="A2385" s="2" t="s">
        <v>293</v>
      </c>
      <c r="B2385" s="2" t="s">
        <v>658</v>
      </c>
      <c r="C2385" s="2" t="s">
        <v>642</v>
      </c>
      <c r="D2385" s="2" t="s">
        <v>487</v>
      </c>
      <c r="E2385" s="2" t="s">
        <v>166</v>
      </c>
    </row>
    <row r="2386" customFormat="false" ht="15" hidden="false" customHeight="false" outlineLevel="0" collapsed="false">
      <c r="A2386" s="2" t="s">
        <v>293</v>
      </c>
      <c r="B2386" s="2" t="s">
        <v>324</v>
      </c>
      <c r="C2386" s="2" t="s">
        <v>642</v>
      </c>
      <c r="D2386" s="2" t="s">
        <v>610</v>
      </c>
      <c r="E2386" s="2" t="s">
        <v>166</v>
      </c>
    </row>
    <row r="2387" customFormat="false" ht="15" hidden="false" customHeight="false" outlineLevel="0" collapsed="false">
      <c r="A2387" s="2" t="s">
        <v>293</v>
      </c>
      <c r="B2387" s="2" t="s">
        <v>660</v>
      </c>
      <c r="C2387" s="2" t="s">
        <v>640</v>
      </c>
      <c r="D2387" s="2" t="s">
        <v>355</v>
      </c>
      <c r="E2387" s="2" t="s">
        <v>166</v>
      </c>
    </row>
    <row r="2388" customFormat="false" ht="15" hidden="false" customHeight="false" outlineLevel="0" collapsed="false">
      <c r="A2388" s="2" t="s">
        <v>293</v>
      </c>
      <c r="B2388" s="2" t="s">
        <v>661</v>
      </c>
      <c r="C2388" s="2" t="s">
        <v>641</v>
      </c>
      <c r="D2388" s="2" t="s">
        <v>355</v>
      </c>
      <c r="E2388" s="2" t="s">
        <v>166</v>
      </c>
    </row>
    <row r="2389" customFormat="false" ht="15" hidden="false" customHeight="false" outlineLevel="0" collapsed="false">
      <c r="A2389" s="2" t="s">
        <v>293</v>
      </c>
      <c r="B2389" s="2" t="s">
        <v>707</v>
      </c>
      <c r="C2389" s="2" t="s">
        <v>637</v>
      </c>
      <c r="D2389" s="2" t="s">
        <v>505</v>
      </c>
      <c r="E2389" s="2" t="s">
        <v>166</v>
      </c>
    </row>
    <row r="2390" customFormat="false" ht="15" hidden="false" customHeight="false" outlineLevel="0" collapsed="false">
      <c r="A2390" s="2" t="s">
        <v>293</v>
      </c>
      <c r="B2390" s="2" t="s">
        <v>716</v>
      </c>
      <c r="C2390" s="2" t="s">
        <v>512</v>
      </c>
      <c r="D2390" s="2" t="s">
        <v>510</v>
      </c>
      <c r="E2390" s="2" t="s">
        <v>166</v>
      </c>
    </row>
    <row r="2391" customFormat="false" ht="15" hidden="false" customHeight="false" outlineLevel="0" collapsed="false">
      <c r="A2391" s="2" t="s">
        <v>293</v>
      </c>
      <c r="B2391" s="2" t="s">
        <v>662</v>
      </c>
      <c r="C2391" s="2" t="s">
        <v>630</v>
      </c>
      <c r="D2391" s="2" t="s">
        <v>585</v>
      </c>
      <c r="E2391" s="2" t="s">
        <v>167</v>
      </c>
    </row>
    <row r="2392" customFormat="false" ht="15" hidden="false" customHeight="false" outlineLevel="0" collapsed="false">
      <c r="A2392" s="2" t="s">
        <v>293</v>
      </c>
      <c r="B2392" s="2" t="s">
        <v>667</v>
      </c>
      <c r="C2392" s="2" t="s">
        <v>638</v>
      </c>
      <c r="D2392" s="2" t="s">
        <v>668</v>
      </c>
      <c r="E2392" s="2" t="s">
        <v>166</v>
      </c>
    </row>
    <row r="2393" customFormat="false" ht="15" hidden="false" customHeight="false" outlineLevel="0" collapsed="false">
      <c r="A2393" s="2" t="s">
        <v>293</v>
      </c>
      <c r="B2393" s="2" t="s">
        <v>669</v>
      </c>
      <c r="C2393" s="2" t="s">
        <v>636</v>
      </c>
      <c r="D2393" s="2" t="s">
        <v>670</v>
      </c>
      <c r="E2393" s="2" t="s">
        <v>166</v>
      </c>
    </row>
    <row r="2394" customFormat="false" ht="15" hidden="false" customHeight="false" outlineLevel="0" collapsed="false">
      <c r="A2394" s="2" t="s">
        <v>293</v>
      </c>
      <c r="B2394" s="2" t="s">
        <v>671</v>
      </c>
      <c r="C2394" s="2" t="s">
        <v>632</v>
      </c>
      <c r="D2394" s="2" t="s">
        <v>672</v>
      </c>
      <c r="E2394" s="2" t="s">
        <v>166</v>
      </c>
    </row>
    <row r="2395" customFormat="false" ht="15" hidden="false" customHeight="false" outlineLevel="0" collapsed="false">
      <c r="A2395" s="2" t="s">
        <v>293</v>
      </c>
      <c r="B2395" s="2" t="s">
        <v>673</v>
      </c>
      <c r="C2395" s="2" t="s">
        <v>632</v>
      </c>
      <c r="D2395" s="2" t="s">
        <v>523</v>
      </c>
      <c r="E2395" s="2" t="s">
        <v>168</v>
      </c>
    </row>
    <row r="2396" customFormat="false" ht="15" hidden="false" customHeight="false" outlineLevel="0" collapsed="false">
      <c r="A2396" s="2" t="s">
        <v>293</v>
      </c>
      <c r="B2396" s="2" t="s">
        <v>674</v>
      </c>
      <c r="C2396" s="2" t="s">
        <v>632</v>
      </c>
      <c r="D2396" s="2" t="s">
        <v>523</v>
      </c>
      <c r="E2396" s="2" t="s">
        <v>168</v>
      </c>
    </row>
    <row r="2397" customFormat="false" ht="15" hidden="false" customHeight="false" outlineLevel="0" collapsed="false">
      <c r="A2397" s="2" t="s">
        <v>293</v>
      </c>
      <c r="B2397" s="2" t="s">
        <v>692</v>
      </c>
      <c r="C2397" s="2" t="s">
        <v>632</v>
      </c>
      <c r="D2397" s="2" t="s">
        <v>523</v>
      </c>
      <c r="E2397" s="2" t="s">
        <v>168</v>
      </c>
    </row>
    <row r="2398" customFormat="false" ht="15" hidden="false" customHeight="false" outlineLevel="0" collapsed="false">
      <c r="A2398" s="2" t="s">
        <v>293</v>
      </c>
      <c r="B2398" s="2" t="s">
        <v>675</v>
      </c>
      <c r="C2398" s="2" t="s">
        <v>632</v>
      </c>
      <c r="D2398" s="2" t="s">
        <v>523</v>
      </c>
      <c r="E2398" s="2" t="s">
        <v>168</v>
      </c>
    </row>
    <row r="2399" customFormat="false" ht="15" hidden="false" customHeight="false" outlineLevel="0" collapsed="false">
      <c r="A2399" s="2" t="s">
        <v>293</v>
      </c>
      <c r="B2399" s="2" t="s">
        <v>702</v>
      </c>
      <c r="C2399" s="2" t="s">
        <v>632</v>
      </c>
      <c r="D2399" s="2" t="s">
        <v>523</v>
      </c>
      <c r="E2399" s="2" t="s">
        <v>168</v>
      </c>
    </row>
    <row r="2400" customFormat="false" ht="15" hidden="false" customHeight="false" outlineLevel="0" collapsed="false">
      <c r="A2400" s="2" t="s">
        <v>293</v>
      </c>
      <c r="B2400" s="2" t="s">
        <v>412</v>
      </c>
      <c r="C2400" s="2" t="s">
        <v>632</v>
      </c>
      <c r="D2400" s="2" t="s">
        <v>523</v>
      </c>
      <c r="E2400" s="2" t="s">
        <v>168</v>
      </c>
    </row>
    <row r="2401" customFormat="false" ht="15" hidden="false" customHeight="false" outlineLevel="0" collapsed="false">
      <c r="A2401" s="2" t="s">
        <v>293</v>
      </c>
      <c r="B2401" s="2" t="s">
        <v>676</v>
      </c>
      <c r="C2401" s="2" t="s">
        <v>633</v>
      </c>
      <c r="D2401" s="2" t="s">
        <v>677</v>
      </c>
      <c r="E2401" s="2" t="s">
        <v>166</v>
      </c>
    </row>
    <row r="2402" customFormat="false" ht="15" hidden="false" customHeight="false" outlineLevel="0" collapsed="false">
      <c r="A2402" s="2" t="s">
        <v>293</v>
      </c>
      <c r="B2402" s="2" t="s">
        <v>678</v>
      </c>
      <c r="C2402" s="2" t="s">
        <v>634</v>
      </c>
      <c r="D2402" s="2" t="s">
        <v>679</v>
      </c>
      <c r="E2402" s="2" t="s">
        <v>166</v>
      </c>
    </row>
    <row r="2403" customFormat="false" ht="15" hidden="false" customHeight="false" outlineLevel="0" collapsed="false">
      <c r="A2403" s="2" t="s">
        <v>293</v>
      </c>
      <c r="B2403" s="2" t="s">
        <v>680</v>
      </c>
      <c r="C2403" s="2" t="s">
        <v>629</v>
      </c>
      <c r="D2403" s="2" t="s">
        <v>681</v>
      </c>
      <c r="E2403" s="2" t="s">
        <v>169</v>
      </c>
    </row>
    <row r="2404" customFormat="false" ht="15" hidden="false" customHeight="false" outlineLevel="0" collapsed="false">
      <c r="A2404" s="2" t="s">
        <v>293</v>
      </c>
      <c r="B2404" s="2" t="s">
        <v>370</v>
      </c>
      <c r="C2404" s="2" t="s">
        <v>627</v>
      </c>
      <c r="D2404" s="2" t="s">
        <v>682</v>
      </c>
      <c r="E2404" s="2" t="s">
        <v>166</v>
      </c>
    </row>
    <row r="2405" customFormat="false" ht="15" hidden="false" customHeight="false" outlineLevel="0" collapsed="false">
      <c r="A2405" s="2" t="s">
        <v>293</v>
      </c>
      <c r="B2405" s="2" t="s">
        <v>683</v>
      </c>
      <c r="C2405" s="2" t="s">
        <v>627</v>
      </c>
      <c r="D2405" s="2" t="s">
        <v>402</v>
      </c>
      <c r="E2405" s="2" t="s">
        <v>168</v>
      </c>
    </row>
    <row r="2406" customFormat="false" ht="15" hidden="false" customHeight="false" outlineLevel="0" collapsed="false">
      <c r="A2406" s="2" t="s">
        <v>293</v>
      </c>
      <c r="B2406" s="2" t="s">
        <v>684</v>
      </c>
      <c r="C2406" s="2" t="s">
        <v>627</v>
      </c>
      <c r="D2406" s="2" t="s">
        <v>402</v>
      </c>
      <c r="E2406" s="2" t="s">
        <v>168</v>
      </c>
    </row>
    <row r="2407" customFormat="false" ht="15" hidden="false" customHeight="false" outlineLevel="0" collapsed="false">
      <c r="A2407" s="2" t="s">
        <v>293</v>
      </c>
      <c r="B2407" s="2" t="s">
        <v>410</v>
      </c>
      <c r="C2407" s="2" t="s">
        <v>627</v>
      </c>
      <c r="D2407" s="2" t="s">
        <v>402</v>
      </c>
      <c r="E2407" s="2" t="s">
        <v>168</v>
      </c>
    </row>
    <row r="2408" customFormat="false" ht="15" hidden="false" customHeight="false" outlineLevel="0" collapsed="false">
      <c r="A2408" s="2" t="s">
        <v>293</v>
      </c>
      <c r="B2408" s="2" t="s">
        <v>685</v>
      </c>
      <c r="C2408" s="2" t="s">
        <v>627</v>
      </c>
      <c r="D2408" s="2" t="s">
        <v>402</v>
      </c>
      <c r="E2408" s="2" t="s">
        <v>170</v>
      </c>
    </row>
    <row r="2409" customFormat="false" ht="15" hidden="false" customHeight="false" outlineLevel="0" collapsed="false">
      <c r="A2409" s="2" t="s">
        <v>293</v>
      </c>
      <c r="B2409" s="2" t="s">
        <v>686</v>
      </c>
      <c r="C2409" s="2" t="s">
        <v>628</v>
      </c>
      <c r="D2409" s="2" t="s">
        <v>687</v>
      </c>
      <c r="E2409" s="2" t="s">
        <v>166</v>
      </c>
    </row>
    <row r="2410" customFormat="false" ht="15" hidden="false" customHeight="false" outlineLevel="0" collapsed="false">
      <c r="A2410" s="2" t="s">
        <v>293</v>
      </c>
      <c r="B2410" s="2" t="s">
        <v>688</v>
      </c>
      <c r="C2410" s="2" t="s">
        <v>645</v>
      </c>
      <c r="D2410" s="2" t="s">
        <v>373</v>
      </c>
      <c r="E2410" s="2" t="s">
        <v>170</v>
      </c>
    </row>
    <row r="2411" customFormat="false" ht="15" hidden="false" customHeight="false" outlineLevel="0" collapsed="false">
      <c r="A2411" s="2" t="s">
        <v>294</v>
      </c>
      <c r="B2411" s="2" t="s">
        <v>649</v>
      </c>
      <c r="C2411" s="2" t="s">
        <v>635</v>
      </c>
      <c r="D2411" s="2" t="s">
        <v>487</v>
      </c>
      <c r="E2411" s="2" t="s">
        <v>166</v>
      </c>
    </row>
    <row r="2412" customFormat="false" ht="15" hidden="false" customHeight="false" outlineLevel="0" collapsed="false">
      <c r="A2412" s="2" t="s">
        <v>294</v>
      </c>
      <c r="B2412" s="2" t="s">
        <v>650</v>
      </c>
      <c r="C2412" s="2" t="s">
        <v>635</v>
      </c>
      <c r="D2412" s="2" t="s">
        <v>651</v>
      </c>
      <c r="E2412" s="2" t="s">
        <v>169</v>
      </c>
    </row>
    <row r="2413" customFormat="false" ht="15" hidden="false" customHeight="false" outlineLevel="0" collapsed="false">
      <c r="A2413" s="2" t="s">
        <v>294</v>
      </c>
      <c r="B2413" s="2" t="s">
        <v>652</v>
      </c>
      <c r="C2413" s="2" t="s">
        <v>635</v>
      </c>
      <c r="D2413" s="2" t="s">
        <v>653</v>
      </c>
      <c r="E2413" s="2" t="s">
        <v>169</v>
      </c>
    </row>
    <row r="2414" customFormat="false" ht="15" hidden="false" customHeight="false" outlineLevel="0" collapsed="false">
      <c r="A2414" s="2" t="s">
        <v>294</v>
      </c>
      <c r="B2414" s="2" t="s">
        <v>654</v>
      </c>
      <c r="C2414" s="2" t="s">
        <v>635</v>
      </c>
      <c r="D2414" s="2" t="s">
        <v>655</v>
      </c>
      <c r="E2414" s="2" t="s">
        <v>169</v>
      </c>
    </row>
    <row r="2415" customFormat="false" ht="15" hidden="false" customHeight="false" outlineLevel="0" collapsed="false">
      <c r="A2415" s="2" t="s">
        <v>294</v>
      </c>
      <c r="B2415" s="2" t="s">
        <v>656</v>
      </c>
      <c r="C2415" s="2" t="s">
        <v>642</v>
      </c>
      <c r="D2415" s="2" t="s">
        <v>487</v>
      </c>
      <c r="E2415" s="2" t="s">
        <v>166</v>
      </c>
    </row>
    <row r="2416" customFormat="false" ht="15" hidden="false" customHeight="false" outlineLevel="0" collapsed="false">
      <c r="A2416" s="2" t="s">
        <v>294</v>
      </c>
      <c r="B2416" s="2" t="s">
        <v>320</v>
      </c>
      <c r="C2416" s="2" t="s">
        <v>642</v>
      </c>
      <c r="D2416" s="2" t="s">
        <v>579</v>
      </c>
      <c r="E2416" s="2" t="s">
        <v>167</v>
      </c>
    </row>
    <row r="2417" customFormat="false" ht="15" hidden="false" customHeight="false" outlineLevel="0" collapsed="false">
      <c r="A2417" s="2" t="s">
        <v>294</v>
      </c>
      <c r="B2417" s="2" t="s">
        <v>658</v>
      </c>
      <c r="C2417" s="2" t="s">
        <v>642</v>
      </c>
      <c r="D2417" s="2" t="s">
        <v>487</v>
      </c>
      <c r="E2417" s="2" t="s">
        <v>166</v>
      </c>
    </row>
    <row r="2418" customFormat="false" ht="15" hidden="false" customHeight="false" outlineLevel="0" collapsed="false">
      <c r="A2418" s="2" t="s">
        <v>294</v>
      </c>
      <c r="B2418" s="2" t="s">
        <v>324</v>
      </c>
      <c r="C2418" s="2" t="s">
        <v>642</v>
      </c>
      <c r="D2418" s="2" t="s">
        <v>659</v>
      </c>
      <c r="E2418" s="2" t="s">
        <v>169</v>
      </c>
    </row>
    <row r="2419" customFormat="false" ht="15" hidden="false" customHeight="false" outlineLevel="0" collapsed="false">
      <c r="A2419" s="2" t="s">
        <v>294</v>
      </c>
      <c r="B2419" s="2" t="s">
        <v>660</v>
      </c>
      <c r="C2419" s="2" t="s">
        <v>640</v>
      </c>
      <c r="D2419" s="2" t="s">
        <v>355</v>
      </c>
      <c r="E2419" s="2" t="s">
        <v>166</v>
      </c>
    </row>
    <row r="2420" customFormat="false" ht="15" hidden="false" customHeight="false" outlineLevel="0" collapsed="false">
      <c r="A2420" s="2" t="s">
        <v>294</v>
      </c>
      <c r="B2420" s="2" t="s">
        <v>661</v>
      </c>
      <c r="C2420" s="2" t="s">
        <v>641</v>
      </c>
      <c r="D2420" s="2" t="s">
        <v>355</v>
      </c>
      <c r="E2420" s="2" t="s">
        <v>166</v>
      </c>
    </row>
    <row r="2421" customFormat="false" ht="15" hidden="false" customHeight="false" outlineLevel="0" collapsed="false">
      <c r="A2421" s="2" t="s">
        <v>294</v>
      </c>
      <c r="B2421" s="2" t="s">
        <v>707</v>
      </c>
      <c r="C2421" s="2" t="s">
        <v>637</v>
      </c>
      <c r="D2421" s="2" t="s">
        <v>505</v>
      </c>
      <c r="E2421" s="2" t="s">
        <v>166</v>
      </c>
    </row>
    <row r="2422" customFormat="false" ht="15" hidden="false" customHeight="false" outlineLevel="0" collapsed="false">
      <c r="A2422" s="2" t="s">
        <v>294</v>
      </c>
      <c r="B2422" s="2" t="s">
        <v>716</v>
      </c>
      <c r="C2422" s="2" t="s">
        <v>512</v>
      </c>
      <c r="D2422" s="2" t="s">
        <v>510</v>
      </c>
      <c r="E2422" s="2" t="s">
        <v>166</v>
      </c>
    </row>
    <row r="2423" customFormat="false" ht="15" hidden="false" customHeight="false" outlineLevel="0" collapsed="false">
      <c r="A2423" s="2" t="s">
        <v>294</v>
      </c>
      <c r="B2423" s="2" t="s">
        <v>662</v>
      </c>
      <c r="C2423" s="2" t="s">
        <v>630</v>
      </c>
      <c r="D2423" s="2" t="s">
        <v>585</v>
      </c>
      <c r="E2423" s="2" t="s">
        <v>167</v>
      </c>
    </row>
    <row r="2424" customFormat="false" ht="15" hidden="false" customHeight="false" outlineLevel="0" collapsed="false">
      <c r="A2424" s="2" t="s">
        <v>294</v>
      </c>
      <c r="B2424" s="2" t="s">
        <v>667</v>
      </c>
      <c r="C2424" s="2" t="s">
        <v>638</v>
      </c>
      <c r="D2424" s="2" t="s">
        <v>668</v>
      </c>
      <c r="E2424" s="2" t="s">
        <v>166</v>
      </c>
    </row>
    <row r="2425" customFormat="false" ht="15" hidden="false" customHeight="false" outlineLevel="0" collapsed="false">
      <c r="A2425" s="2" t="s">
        <v>294</v>
      </c>
      <c r="B2425" s="2" t="s">
        <v>669</v>
      </c>
      <c r="C2425" s="2" t="s">
        <v>636</v>
      </c>
      <c r="D2425" s="2" t="s">
        <v>670</v>
      </c>
      <c r="E2425" s="2" t="s">
        <v>166</v>
      </c>
    </row>
    <row r="2426" customFormat="false" ht="15" hidden="false" customHeight="false" outlineLevel="0" collapsed="false">
      <c r="A2426" s="2" t="s">
        <v>294</v>
      </c>
      <c r="B2426" s="2" t="s">
        <v>671</v>
      </c>
      <c r="C2426" s="2" t="s">
        <v>632</v>
      </c>
      <c r="D2426" s="2" t="s">
        <v>672</v>
      </c>
      <c r="E2426" s="2" t="s">
        <v>166</v>
      </c>
    </row>
    <row r="2427" customFormat="false" ht="15" hidden="false" customHeight="false" outlineLevel="0" collapsed="false">
      <c r="A2427" s="2" t="s">
        <v>294</v>
      </c>
      <c r="B2427" s="2" t="s">
        <v>673</v>
      </c>
      <c r="C2427" s="2" t="s">
        <v>632</v>
      </c>
      <c r="D2427" s="2" t="s">
        <v>523</v>
      </c>
      <c r="E2427" s="2" t="s">
        <v>168</v>
      </c>
    </row>
    <row r="2428" customFormat="false" ht="15" hidden="false" customHeight="false" outlineLevel="0" collapsed="false">
      <c r="A2428" s="2" t="s">
        <v>294</v>
      </c>
      <c r="B2428" s="2" t="s">
        <v>674</v>
      </c>
      <c r="C2428" s="2" t="s">
        <v>632</v>
      </c>
      <c r="D2428" s="2" t="s">
        <v>523</v>
      </c>
      <c r="E2428" s="2" t="s">
        <v>168</v>
      </c>
    </row>
    <row r="2429" customFormat="false" ht="15" hidden="false" customHeight="false" outlineLevel="0" collapsed="false">
      <c r="A2429" s="2" t="s">
        <v>294</v>
      </c>
      <c r="B2429" s="2" t="s">
        <v>692</v>
      </c>
      <c r="C2429" s="2" t="s">
        <v>632</v>
      </c>
      <c r="D2429" s="2" t="s">
        <v>523</v>
      </c>
      <c r="E2429" s="2" t="s">
        <v>168</v>
      </c>
    </row>
    <row r="2430" customFormat="false" ht="15" hidden="false" customHeight="false" outlineLevel="0" collapsed="false">
      <c r="A2430" s="2" t="s">
        <v>294</v>
      </c>
      <c r="B2430" s="2" t="s">
        <v>675</v>
      </c>
      <c r="C2430" s="2" t="s">
        <v>632</v>
      </c>
      <c r="D2430" s="2" t="s">
        <v>523</v>
      </c>
      <c r="E2430" s="2" t="s">
        <v>168</v>
      </c>
    </row>
    <row r="2431" customFormat="false" ht="15" hidden="false" customHeight="false" outlineLevel="0" collapsed="false">
      <c r="A2431" s="2" t="s">
        <v>294</v>
      </c>
      <c r="B2431" s="2" t="s">
        <v>702</v>
      </c>
      <c r="C2431" s="2" t="s">
        <v>632</v>
      </c>
      <c r="D2431" s="2" t="s">
        <v>523</v>
      </c>
      <c r="E2431" s="2" t="s">
        <v>168</v>
      </c>
    </row>
    <row r="2432" customFormat="false" ht="15" hidden="false" customHeight="false" outlineLevel="0" collapsed="false">
      <c r="A2432" s="2" t="s">
        <v>294</v>
      </c>
      <c r="B2432" s="2" t="s">
        <v>412</v>
      </c>
      <c r="C2432" s="2" t="s">
        <v>632</v>
      </c>
      <c r="D2432" s="2" t="s">
        <v>523</v>
      </c>
      <c r="E2432" s="2" t="s">
        <v>168</v>
      </c>
    </row>
    <row r="2433" customFormat="false" ht="15" hidden="false" customHeight="false" outlineLevel="0" collapsed="false">
      <c r="A2433" s="2" t="s">
        <v>294</v>
      </c>
      <c r="B2433" s="2" t="s">
        <v>676</v>
      </c>
      <c r="C2433" s="2" t="s">
        <v>633</v>
      </c>
      <c r="D2433" s="2" t="s">
        <v>677</v>
      </c>
      <c r="E2433" s="2" t="s">
        <v>166</v>
      </c>
    </row>
    <row r="2434" customFormat="false" ht="15" hidden="false" customHeight="false" outlineLevel="0" collapsed="false">
      <c r="A2434" s="2" t="s">
        <v>294</v>
      </c>
      <c r="B2434" s="2" t="s">
        <v>678</v>
      </c>
      <c r="C2434" s="2" t="s">
        <v>634</v>
      </c>
      <c r="D2434" s="2" t="s">
        <v>679</v>
      </c>
      <c r="E2434" s="2" t="s">
        <v>166</v>
      </c>
    </row>
    <row r="2435" customFormat="false" ht="15" hidden="false" customHeight="false" outlineLevel="0" collapsed="false">
      <c r="A2435" s="2" t="s">
        <v>294</v>
      </c>
      <c r="B2435" s="2" t="s">
        <v>680</v>
      </c>
      <c r="C2435" s="2" t="s">
        <v>629</v>
      </c>
      <c r="D2435" s="2" t="s">
        <v>703</v>
      </c>
      <c r="E2435" s="2" t="s">
        <v>166</v>
      </c>
    </row>
    <row r="2436" customFormat="false" ht="15" hidden="false" customHeight="false" outlineLevel="0" collapsed="false">
      <c r="A2436" s="2" t="s">
        <v>294</v>
      </c>
      <c r="B2436" s="2" t="s">
        <v>370</v>
      </c>
      <c r="C2436" s="2" t="s">
        <v>627</v>
      </c>
      <c r="D2436" s="2" t="s">
        <v>717</v>
      </c>
      <c r="E2436" s="2" t="s">
        <v>166</v>
      </c>
    </row>
    <row r="2437" customFormat="false" ht="15" hidden="false" customHeight="false" outlineLevel="0" collapsed="false">
      <c r="A2437" s="2" t="s">
        <v>294</v>
      </c>
      <c r="B2437" s="2" t="s">
        <v>696</v>
      </c>
      <c r="C2437" s="2" t="s">
        <v>627</v>
      </c>
      <c r="D2437" s="2" t="s">
        <v>718</v>
      </c>
      <c r="E2437" s="2" t="s">
        <v>168</v>
      </c>
    </row>
    <row r="2438" customFormat="false" ht="15" hidden="false" customHeight="false" outlineLevel="0" collapsed="false">
      <c r="A2438" s="2" t="s">
        <v>294</v>
      </c>
      <c r="B2438" s="2" t="s">
        <v>697</v>
      </c>
      <c r="C2438" s="2" t="s">
        <v>627</v>
      </c>
      <c r="D2438" s="2" t="s">
        <v>718</v>
      </c>
      <c r="E2438" s="2" t="s">
        <v>168</v>
      </c>
    </row>
    <row r="2439" customFormat="false" ht="15" hidden="false" customHeight="false" outlineLevel="0" collapsed="false">
      <c r="A2439" s="2" t="s">
        <v>294</v>
      </c>
      <c r="B2439" s="2" t="s">
        <v>684</v>
      </c>
      <c r="C2439" s="2" t="s">
        <v>627</v>
      </c>
      <c r="D2439" s="2" t="s">
        <v>718</v>
      </c>
      <c r="E2439" s="2" t="s">
        <v>166</v>
      </c>
    </row>
    <row r="2440" customFormat="false" ht="15" hidden="false" customHeight="false" outlineLevel="0" collapsed="false">
      <c r="A2440" s="2" t="s">
        <v>294</v>
      </c>
      <c r="B2440" s="2" t="s">
        <v>410</v>
      </c>
      <c r="C2440" s="2" t="s">
        <v>627</v>
      </c>
      <c r="D2440" s="2" t="s">
        <v>718</v>
      </c>
      <c r="E2440" s="2" t="s">
        <v>166</v>
      </c>
    </row>
    <row r="2441" customFormat="false" ht="15" hidden="false" customHeight="false" outlineLevel="0" collapsed="false">
      <c r="A2441" s="2" t="s">
        <v>294</v>
      </c>
      <c r="B2441" s="2" t="s">
        <v>686</v>
      </c>
      <c r="C2441" s="2" t="s">
        <v>628</v>
      </c>
      <c r="D2441" s="2" t="s">
        <v>719</v>
      </c>
      <c r="E2441" s="2" t="s">
        <v>166</v>
      </c>
    </row>
    <row r="2442" customFormat="false" ht="15" hidden="false" customHeight="false" outlineLevel="0" collapsed="false">
      <c r="A2442" s="2" t="s">
        <v>294</v>
      </c>
      <c r="B2442" s="2" t="s">
        <v>688</v>
      </c>
      <c r="C2442" s="2" t="s">
        <v>645</v>
      </c>
      <c r="D2442" s="2" t="s">
        <v>373</v>
      </c>
      <c r="E2442" s="2" t="s">
        <v>170</v>
      </c>
    </row>
    <row r="2443" customFormat="false" ht="15" hidden="false" customHeight="false" outlineLevel="0" collapsed="false">
      <c r="A2443" s="2" t="s">
        <v>294</v>
      </c>
      <c r="B2443" s="2" t="s">
        <v>689</v>
      </c>
      <c r="C2443" s="2" t="s">
        <v>645</v>
      </c>
      <c r="D2443" s="2" t="s">
        <v>690</v>
      </c>
      <c r="E2443" s="2" t="s">
        <v>167</v>
      </c>
    </row>
    <row r="2444" customFormat="false" ht="15" hidden="false" customHeight="false" outlineLevel="0" collapsed="false">
      <c r="A2444" s="2" t="s">
        <v>294</v>
      </c>
      <c r="B2444" s="2" t="s">
        <v>691</v>
      </c>
      <c r="C2444" s="2" t="s">
        <v>645</v>
      </c>
      <c r="D2444" s="2" t="s">
        <v>690</v>
      </c>
      <c r="E2444" s="2" t="s">
        <v>167</v>
      </c>
    </row>
    <row r="2445" customFormat="false" ht="15" hidden="false" customHeight="false" outlineLevel="0" collapsed="false">
      <c r="A2445" s="2" t="s">
        <v>295</v>
      </c>
      <c r="B2445" s="2" t="s">
        <v>649</v>
      </c>
      <c r="C2445" s="2" t="s">
        <v>635</v>
      </c>
      <c r="D2445" s="2" t="s">
        <v>487</v>
      </c>
      <c r="E2445" s="2" t="s">
        <v>166</v>
      </c>
    </row>
    <row r="2446" customFormat="false" ht="15" hidden="false" customHeight="false" outlineLevel="0" collapsed="false">
      <c r="A2446" s="2" t="s">
        <v>295</v>
      </c>
      <c r="B2446" s="2" t="s">
        <v>650</v>
      </c>
      <c r="C2446" s="2" t="s">
        <v>635</v>
      </c>
      <c r="D2446" s="2" t="s">
        <v>651</v>
      </c>
      <c r="E2446" s="2" t="s">
        <v>169</v>
      </c>
    </row>
    <row r="2447" customFormat="false" ht="15" hidden="false" customHeight="false" outlineLevel="0" collapsed="false">
      <c r="A2447" s="2" t="s">
        <v>295</v>
      </c>
      <c r="B2447" s="2" t="s">
        <v>652</v>
      </c>
      <c r="C2447" s="2" t="s">
        <v>635</v>
      </c>
      <c r="D2447" s="2" t="s">
        <v>653</v>
      </c>
      <c r="E2447" s="2" t="s">
        <v>169</v>
      </c>
    </row>
    <row r="2448" customFormat="false" ht="15" hidden="false" customHeight="false" outlineLevel="0" collapsed="false">
      <c r="A2448" s="2" t="s">
        <v>295</v>
      </c>
      <c r="B2448" s="2" t="s">
        <v>654</v>
      </c>
      <c r="C2448" s="2" t="s">
        <v>635</v>
      </c>
      <c r="D2448" s="2" t="s">
        <v>655</v>
      </c>
      <c r="E2448" s="2" t="s">
        <v>169</v>
      </c>
    </row>
    <row r="2449" customFormat="false" ht="15" hidden="false" customHeight="false" outlineLevel="0" collapsed="false">
      <c r="A2449" s="2" t="s">
        <v>295</v>
      </c>
      <c r="B2449" s="2" t="s">
        <v>656</v>
      </c>
      <c r="C2449" s="2" t="s">
        <v>642</v>
      </c>
      <c r="D2449" s="2" t="s">
        <v>487</v>
      </c>
      <c r="E2449" s="2" t="s">
        <v>166</v>
      </c>
    </row>
    <row r="2450" customFormat="false" ht="15" hidden="false" customHeight="false" outlineLevel="0" collapsed="false">
      <c r="A2450" s="2" t="s">
        <v>295</v>
      </c>
      <c r="B2450" s="2" t="s">
        <v>320</v>
      </c>
      <c r="C2450" s="2" t="s">
        <v>642</v>
      </c>
      <c r="D2450" s="2" t="s">
        <v>657</v>
      </c>
      <c r="E2450" s="2" t="s">
        <v>169</v>
      </c>
    </row>
    <row r="2451" customFormat="false" ht="15" hidden="false" customHeight="false" outlineLevel="0" collapsed="false">
      <c r="A2451" s="2" t="s">
        <v>295</v>
      </c>
      <c r="B2451" s="2" t="s">
        <v>658</v>
      </c>
      <c r="C2451" s="2" t="s">
        <v>642</v>
      </c>
      <c r="D2451" s="2" t="s">
        <v>487</v>
      </c>
      <c r="E2451" s="2" t="s">
        <v>166</v>
      </c>
    </row>
    <row r="2452" customFormat="false" ht="15" hidden="false" customHeight="false" outlineLevel="0" collapsed="false">
      <c r="A2452" s="2" t="s">
        <v>295</v>
      </c>
      <c r="B2452" s="2" t="s">
        <v>324</v>
      </c>
      <c r="C2452" s="2" t="s">
        <v>642</v>
      </c>
      <c r="D2452" s="2" t="s">
        <v>610</v>
      </c>
      <c r="E2452" s="2" t="s">
        <v>166</v>
      </c>
    </row>
    <row r="2453" customFormat="false" ht="15" hidden="false" customHeight="false" outlineLevel="0" collapsed="false">
      <c r="A2453" s="2" t="s">
        <v>295</v>
      </c>
      <c r="B2453" s="2" t="s">
        <v>704</v>
      </c>
      <c r="C2453" s="2" t="s">
        <v>643</v>
      </c>
      <c r="D2453" s="2" t="s">
        <v>494</v>
      </c>
      <c r="E2453" s="2" t="s">
        <v>167</v>
      </c>
    </row>
    <row r="2454" customFormat="false" ht="15" hidden="false" customHeight="false" outlineLevel="0" collapsed="false">
      <c r="A2454" s="2" t="s">
        <v>295</v>
      </c>
      <c r="B2454" s="2" t="s">
        <v>660</v>
      </c>
      <c r="C2454" s="2" t="s">
        <v>640</v>
      </c>
      <c r="D2454" s="2" t="s">
        <v>355</v>
      </c>
      <c r="E2454" s="2" t="s">
        <v>166</v>
      </c>
    </row>
    <row r="2455" customFormat="false" ht="15" hidden="false" customHeight="false" outlineLevel="0" collapsed="false">
      <c r="A2455" s="2" t="s">
        <v>295</v>
      </c>
      <c r="B2455" s="2" t="s">
        <v>661</v>
      </c>
      <c r="C2455" s="2" t="s">
        <v>641</v>
      </c>
      <c r="D2455" s="2" t="s">
        <v>355</v>
      </c>
      <c r="E2455" s="2" t="s">
        <v>166</v>
      </c>
    </row>
    <row r="2456" customFormat="false" ht="15" hidden="false" customHeight="false" outlineLevel="0" collapsed="false">
      <c r="A2456" s="2" t="s">
        <v>295</v>
      </c>
      <c r="B2456" s="2" t="s">
        <v>662</v>
      </c>
      <c r="C2456" s="2" t="s">
        <v>630</v>
      </c>
      <c r="D2456" s="2" t="s">
        <v>585</v>
      </c>
      <c r="E2456" s="2" t="s">
        <v>167</v>
      </c>
    </row>
    <row r="2457" customFormat="false" ht="15" hidden="false" customHeight="false" outlineLevel="0" collapsed="false">
      <c r="A2457" s="2" t="s">
        <v>295</v>
      </c>
      <c r="B2457" s="2" t="s">
        <v>663</v>
      </c>
      <c r="C2457" s="2" t="s">
        <v>631</v>
      </c>
      <c r="D2457" s="2" t="s">
        <v>698</v>
      </c>
      <c r="E2457" s="2" t="s">
        <v>166</v>
      </c>
    </row>
    <row r="2458" customFormat="false" ht="15" hidden="false" customHeight="false" outlineLevel="0" collapsed="false">
      <c r="A2458" s="2" t="s">
        <v>295</v>
      </c>
      <c r="B2458" s="2" t="s">
        <v>665</v>
      </c>
      <c r="C2458" s="2" t="s">
        <v>631</v>
      </c>
      <c r="D2458" s="2" t="s">
        <v>699</v>
      </c>
      <c r="E2458" s="2" t="s">
        <v>169</v>
      </c>
    </row>
    <row r="2459" customFormat="false" ht="15" hidden="false" customHeight="false" outlineLevel="0" collapsed="false">
      <c r="A2459" s="2" t="s">
        <v>295</v>
      </c>
      <c r="B2459" s="2" t="s">
        <v>667</v>
      </c>
      <c r="C2459" s="2" t="s">
        <v>638</v>
      </c>
      <c r="D2459" s="2" t="s">
        <v>668</v>
      </c>
      <c r="E2459" s="2" t="s">
        <v>166</v>
      </c>
    </row>
    <row r="2460" customFormat="false" ht="15" hidden="false" customHeight="false" outlineLevel="0" collapsed="false">
      <c r="A2460" s="2" t="s">
        <v>295</v>
      </c>
      <c r="B2460" s="2" t="s">
        <v>669</v>
      </c>
      <c r="C2460" s="2" t="s">
        <v>636</v>
      </c>
      <c r="D2460" s="2" t="s">
        <v>670</v>
      </c>
      <c r="E2460" s="2" t="s">
        <v>166</v>
      </c>
    </row>
    <row r="2461" customFormat="false" ht="15" hidden="false" customHeight="false" outlineLevel="0" collapsed="false">
      <c r="A2461" s="2" t="s">
        <v>295</v>
      </c>
      <c r="B2461" s="2" t="s">
        <v>671</v>
      </c>
      <c r="C2461" s="2" t="s">
        <v>632</v>
      </c>
      <c r="D2461" s="2" t="s">
        <v>672</v>
      </c>
      <c r="E2461" s="2" t="s">
        <v>166</v>
      </c>
    </row>
    <row r="2462" customFormat="false" ht="15" hidden="false" customHeight="false" outlineLevel="0" collapsed="false">
      <c r="A2462" s="2" t="s">
        <v>295</v>
      </c>
      <c r="B2462" s="2" t="s">
        <v>673</v>
      </c>
      <c r="C2462" s="2" t="s">
        <v>632</v>
      </c>
      <c r="D2462" s="2" t="s">
        <v>523</v>
      </c>
      <c r="E2462" s="2" t="s">
        <v>168</v>
      </c>
    </row>
    <row r="2463" customFormat="false" ht="15" hidden="false" customHeight="false" outlineLevel="0" collapsed="false">
      <c r="A2463" s="2" t="s">
        <v>295</v>
      </c>
      <c r="B2463" s="2" t="s">
        <v>674</v>
      </c>
      <c r="C2463" s="2" t="s">
        <v>632</v>
      </c>
      <c r="D2463" s="2" t="s">
        <v>523</v>
      </c>
      <c r="E2463" s="2" t="s">
        <v>168</v>
      </c>
    </row>
    <row r="2464" customFormat="false" ht="15" hidden="false" customHeight="false" outlineLevel="0" collapsed="false">
      <c r="A2464" s="2" t="s">
        <v>295</v>
      </c>
      <c r="B2464" s="2" t="s">
        <v>692</v>
      </c>
      <c r="C2464" s="2" t="s">
        <v>632</v>
      </c>
      <c r="D2464" s="2" t="s">
        <v>523</v>
      </c>
      <c r="E2464" s="2" t="s">
        <v>168</v>
      </c>
    </row>
    <row r="2465" customFormat="false" ht="15" hidden="false" customHeight="false" outlineLevel="0" collapsed="false">
      <c r="A2465" s="2" t="s">
        <v>295</v>
      </c>
      <c r="B2465" s="2" t="s">
        <v>675</v>
      </c>
      <c r="C2465" s="2" t="s">
        <v>632</v>
      </c>
      <c r="D2465" s="2" t="s">
        <v>523</v>
      </c>
      <c r="E2465" s="2" t="s">
        <v>168</v>
      </c>
    </row>
    <row r="2466" customFormat="false" ht="15" hidden="false" customHeight="false" outlineLevel="0" collapsed="false">
      <c r="A2466" s="2" t="s">
        <v>295</v>
      </c>
      <c r="B2466" s="2" t="s">
        <v>412</v>
      </c>
      <c r="C2466" s="2" t="s">
        <v>632</v>
      </c>
      <c r="D2466" s="2" t="s">
        <v>523</v>
      </c>
      <c r="E2466" s="2" t="s">
        <v>168</v>
      </c>
    </row>
    <row r="2467" customFormat="false" ht="15" hidden="false" customHeight="false" outlineLevel="0" collapsed="false">
      <c r="A2467" s="2" t="s">
        <v>295</v>
      </c>
      <c r="B2467" s="2" t="s">
        <v>694</v>
      </c>
      <c r="C2467" s="2" t="s">
        <v>633</v>
      </c>
      <c r="D2467" s="2" t="s">
        <v>677</v>
      </c>
      <c r="E2467" s="2" t="s">
        <v>166</v>
      </c>
    </row>
    <row r="2468" customFormat="false" ht="15" hidden="false" customHeight="false" outlineLevel="0" collapsed="false">
      <c r="A2468" s="2" t="s">
        <v>295</v>
      </c>
      <c r="B2468" s="2" t="s">
        <v>678</v>
      </c>
      <c r="C2468" s="2" t="s">
        <v>634</v>
      </c>
      <c r="D2468" s="2" t="s">
        <v>679</v>
      </c>
      <c r="E2468" s="2" t="s">
        <v>166</v>
      </c>
    </row>
    <row r="2469" customFormat="false" ht="15" hidden="false" customHeight="false" outlineLevel="0" collapsed="false">
      <c r="A2469" s="2" t="s">
        <v>295</v>
      </c>
      <c r="B2469" s="2" t="s">
        <v>680</v>
      </c>
      <c r="C2469" s="2" t="s">
        <v>629</v>
      </c>
      <c r="D2469" s="2" t="s">
        <v>703</v>
      </c>
      <c r="E2469" s="2" t="s">
        <v>166</v>
      </c>
    </row>
    <row r="2470" customFormat="false" ht="15" hidden="false" customHeight="false" outlineLevel="0" collapsed="false">
      <c r="A2470" s="2" t="s">
        <v>295</v>
      </c>
      <c r="B2470" s="2" t="s">
        <v>370</v>
      </c>
      <c r="C2470" s="2" t="s">
        <v>627</v>
      </c>
      <c r="D2470" s="2" t="s">
        <v>682</v>
      </c>
      <c r="E2470" s="2" t="s">
        <v>166</v>
      </c>
    </row>
    <row r="2471" customFormat="false" ht="15" hidden="false" customHeight="false" outlineLevel="0" collapsed="false">
      <c r="A2471" s="2" t="s">
        <v>295</v>
      </c>
      <c r="B2471" s="2" t="s">
        <v>683</v>
      </c>
      <c r="C2471" s="2" t="s">
        <v>627</v>
      </c>
      <c r="D2471" s="2" t="s">
        <v>402</v>
      </c>
      <c r="E2471" s="2" t="s">
        <v>168</v>
      </c>
    </row>
    <row r="2472" customFormat="false" ht="15" hidden="false" customHeight="false" outlineLevel="0" collapsed="false">
      <c r="A2472" s="2" t="s">
        <v>295</v>
      </c>
      <c r="B2472" s="2" t="s">
        <v>684</v>
      </c>
      <c r="C2472" s="2" t="s">
        <v>627</v>
      </c>
      <c r="D2472" s="2" t="s">
        <v>402</v>
      </c>
      <c r="E2472" s="2" t="s">
        <v>168</v>
      </c>
    </row>
    <row r="2473" customFormat="false" ht="15" hidden="false" customHeight="false" outlineLevel="0" collapsed="false">
      <c r="A2473" s="2" t="s">
        <v>295</v>
      </c>
      <c r="B2473" s="2" t="s">
        <v>410</v>
      </c>
      <c r="C2473" s="2" t="s">
        <v>627</v>
      </c>
      <c r="D2473" s="2" t="s">
        <v>402</v>
      </c>
      <c r="E2473" s="2" t="s">
        <v>168</v>
      </c>
    </row>
    <row r="2474" customFormat="false" ht="15" hidden="false" customHeight="false" outlineLevel="0" collapsed="false">
      <c r="A2474" s="2" t="s">
        <v>295</v>
      </c>
      <c r="B2474" s="2" t="s">
        <v>685</v>
      </c>
      <c r="C2474" s="2" t="s">
        <v>627</v>
      </c>
      <c r="D2474" s="2" t="s">
        <v>402</v>
      </c>
      <c r="E2474" s="2" t="s">
        <v>170</v>
      </c>
    </row>
    <row r="2475" customFormat="false" ht="15" hidden="false" customHeight="false" outlineLevel="0" collapsed="false">
      <c r="A2475" s="2" t="s">
        <v>295</v>
      </c>
      <c r="B2475" s="2" t="s">
        <v>686</v>
      </c>
      <c r="C2475" s="2" t="s">
        <v>628</v>
      </c>
      <c r="D2475" s="2" t="s">
        <v>687</v>
      </c>
      <c r="E2475" s="2" t="s">
        <v>166</v>
      </c>
    </row>
    <row r="2476" customFormat="false" ht="15" hidden="false" customHeight="false" outlineLevel="0" collapsed="false">
      <c r="A2476" s="2" t="s">
        <v>295</v>
      </c>
      <c r="B2476" s="2" t="s">
        <v>688</v>
      </c>
      <c r="C2476" s="2" t="s">
        <v>645</v>
      </c>
      <c r="D2476" s="2" t="s">
        <v>373</v>
      </c>
      <c r="E2476" s="2" t="s">
        <v>170</v>
      </c>
    </row>
    <row r="2477" customFormat="false" ht="15" hidden="false" customHeight="false" outlineLevel="0" collapsed="false">
      <c r="A2477" s="2" t="s">
        <v>296</v>
      </c>
      <c r="B2477" s="2" t="s">
        <v>649</v>
      </c>
      <c r="C2477" s="2" t="s">
        <v>635</v>
      </c>
      <c r="D2477" s="2" t="s">
        <v>487</v>
      </c>
      <c r="E2477" s="2" t="s">
        <v>166</v>
      </c>
    </row>
    <row r="2478" customFormat="false" ht="15" hidden="false" customHeight="false" outlineLevel="0" collapsed="false">
      <c r="A2478" s="2" t="s">
        <v>296</v>
      </c>
      <c r="B2478" s="2" t="s">
        <v>650</v>
      </c>
      <c r="C2478" s="2" t="s">
        <v>635</v>
      </c>
      <c r="D2478" s="2" t="s">
        <v>651</v>
      </c>
      <c r="E2478" s="2" t="s">
        <v>169</v>
      </c>
    </row>
    <row r="2479" customFormat="false" ht="15" hidden="false" customHeight="false" outlineLevel="0" collapsed="false">
      <c r="A2479" s="2" t="s">
        <v>296</v>
      </c>
      <c r="B2479" s="2" t="s">
        <v>652</v>
      </c>
      <c r="C2479" s="2" t="s">
        <v>635</v>
      </c>
      <c r="D2479" s="2" t="s">
        <v>653</v>
      </c>
      <c r="E2479" s="2" t="s">
        <v>169</v>
      </c>
    </row>
    <row r="2480" customFormat="false" ht="15" hidden="false" customHeight="false" outlineLevel="0" collapsed="false">
      <c r="A2480" s="2" t="s">
        <v>296</v>
      </c>
      <c r="B2480" s="2" t="s">
        <v>654</v>
      </c>
      <c r="C2480" s="2" t="s">
        <v>635</v>
      </c>
      <c r="D2480" s="2" t="s">
        <v>655</v>
      </c>
      <c r="E2480" s="2" t="s">
        <v>169</v>
      </c>
    </row>
    <row r="2481" customFormat="false" ht="15" hidden="false" customHeight="false" outlineLevel="0" collapsed="false">
      <c r="A2481" s="2" t="s">
        <v>296</v>
      </c>
      <c r="B2481" s="2" t="s">
        <v>656</v>
      </c>
      <c r="C2481" s="2" t="s">
        <v>642</v>
      </c>
      <c r="D2481" s="2" t="s">
        <v>487</v>
      </c>
      <c r="E2481" s="2" t="s">
        <v>166</v>
      </c>
    </row>
    <row r="2482" customFormat="false" ht="15" hidden="false" customHeight="false" outlineLevel="0" collapsed="false">
      <c r="A2482" s="2" t="s">
        <v>296</v>
      </c>
      <c r="B2482" s="2" t="s">
        <v>320</v>
      </c>
      <c r="C2482" s="2" t="s">
        <v>642</v>
      </c>
      <c r="D2482" s="2" t="s">
        <v>657</v>
      </c>
      <c r="E2482" s="2" t="s">
        <v>169</v>
      </c>
    </row>
    <row r="2483" customFormat="false" ht="15" hidden="false" customHeight="false" outlineLevel="0" collapsed="false">
      <c r="A2483" s="2" t="s">
        <v>296</v>
      </c>
      <c r="B2483" s="2" t="s">
        <v>658</v>
      </c>
      <c r="C2483" s="2" t="s">
        <v>642</v>
      </c>
      <c r="D2483" s="2" t="s">
        <v>487</v>
      </c>
      <c r="E2483" s="2" t="s">
        <v>166</v>
      </c>
    </row>
    <row r="2484" customFormat="false" ht="15" hidden="false" customHeight="false" outlineLevel="0" collapsed="false">
      <c r="A2484" s="2" t="s">
        <v>296</v>
      </c>
      <c r="B2484" s="2" t="s">
        <v>324</v>
      </c>
      <c r="C2484" s="2" t="s">
        <v>642</v>
      </c>
      <c r="D2484" s="2" t="s">
        <v>659</v>
      </c>
      <c r="E2484" s="2" t="s">
        <v>169</v>
      </c>
    </row>
    <row r="2485" customFormat="false" ht="15" hidden="false" customHeight="false" outlineLevel="0" collapsed="false">
      <c r="A2485" s="2" t="s">
        <v>296</v>
      </c>
      <c r="B2485" s="2" t="s">
        <v>660</v>
      </c>
      <c r="C2485" s="2" t="s">
        <v>640</v>
      </c>
      <c r="D2485" s="2" t="s">
        <v>355</v>
      </c>
      <c r="E2485" s="2" t="s">
        <v>166</v>
      </c>
    </row>
    <row r="2486" customFormat="false" ht="15" hidden="false" customHeight="false" outlineLevel="0" collapsed="false">
      <c r="A2486" s="2" t="s">
        <v>296</v>
      </c>
      <c r="B2486" s="2" t="s">
        <v>661</v>
      </c>
      <c r="C2486" s="2" t="s">
        <v>641</v>
      </c>
      <c r="D2486" s="2" t="s">
        <v>355</v>
      </c>
      <c r="E2486" s="2" t="s">
        <v>166</v>
      </c>
    </row>
    <row r="2487" customFormat="false" ht="15" hidden="false" customHeight="false" outlineLevel="0" collapsed="false">
      <c r="A2487" s="2" t="s">
        <v>296</v>
      </c>
      <c r="B2487" s="2" t="s">
        <v>662</v>
      </c>
      <c r="C2487" s="2" t="s">
        <v>630</v>
      </c>
      <c r="D2487" s="2" t="s">
        <v>585</v>
      </c>
      <c r="E2487" s="2" t="s">
        <v>167</v>
      </c>
    </row>
    <row r="2488" customFormat="false" ht="15" hidden="false" customHeight="false" outlineLevel="0" collapsed="false">
      <c r="A2488" s="2" t="s">
        <v>296</v>
      </c>
      <c r="B2488" s="2" t="s">
        <v>663</v>
      </c>
      <c r="C2488" s="2" t="s">
        <v>631</v>
      </c>
      <c r="D2488" s="2" t="s">
        <v>664</v>
      </c>
      <c r="E2488" s="2" t="s">
        <v>166</v>
      </c>
    </row>
    <row r="2489" customFormat="false" ht="15" hidden="false" customHeight="false" outlineLevel="0" collapsed="false">
      <c r="A2489" s="2" t="s">
        <v>296</v>
      </c>
      <c r="B2489" s="2" t="s">
        <v>665</v>
      </c>
      <c r="C2489" s="2" t="s">
        <v>631</v>
      </c>
      <c r="D2489" s="2" t="s">
        <v>666</v>
      </c>
      <c r="E2489" s="2" t="s">
        <v>169</v>
      </c>
    </row>
    <row r="2490" customFormat="false" ht="15" hidden="false" customHeight="false" outlineLevel="0" collapsed="false">
      <c r="A2490" s="2" t="s">
        <v>296</v>
      </c>
      <c r="B2490" s="2" t="s">
        <v>667</v>
      </c>
      <c r="C2490" s="2" t="s">
        <v>638</v>
      </c>
      <c r="D2490" s="2" t="s">
        <v>668</v>
      </c>
      <c r="E2490" s="2" t="s">
        <v>166</v>
      </c>
    </row>
    <row r="2491" customFormat="false" ht="15" hidden="false" customHeight="false" outlineLevel="0" collapsed="false">
      <c r="A2491" s="2" t="s">
        <v>296</v>
      </c>
      <c r="B2491" s="2" t="s">
        <v>669</v>
      </c>
      <c r="C2491" s="2" t="s">
        <v>636</v>
      </c>
      <c r="D2491" s="2" t="s">
        <v>670</v>
      </c>
      <c r="E2491" s="2" t="s">
        <v>166</v>
      </c>
    </row>
    <row r="2492" customFormat="false" ht="15" hidden="false" customHeight="false" outlineLevel="0" collapsed="false">
      <c r="A2492" s="2" t="s">
        <v>296</v>
      </c>
      <c r="B2492" s="2" t="s">
        <v>671</v>
      </c>
      <c r="C2492" s="2" t="s">
        <v>632</v>
      </c>
      <c r="D2492" s="2" t="s">
        <v>672</v>
      </c>
      <c r="E2492" s="2" t="s">
        <v>166</v>
      </c>
    </row>
    <row r="2493" customFormat="false" ht="15" hidden="false" customHeight="false" outlineLevel="0" collapsed="false">
      <c r="A2493" s="2" t="s">
        <v>296</v>
      </c>
      <c r="B2493" s="2" t="s">
        <v>675</v>
      </c>
      <c r="C2493" s="2" t="s">
        <v>632</v>
      </c>
      <c r="D2493" s="2" t="s">
        <v>523</v>
      </c>
      <c r="E2493" s="2" t="s">
        <v>168</v>
      </c>
    </row>
    <row r="2494" customFormat="false" ht="15" hidden="false" customHeight="false" outlineLevel="0" collapsed="false">
      <c r="A2494" s="2" t="s">
        <v>296</v>
      </c>
      <c r="B2494" s="2" t="s">
        <v>412</v>
      </c>
      <c r="C2494" s="2" t="s">
        <v>632</v>
      </c>
      <c r="D2494" s="2" t="s">
        <v>523</v>
      </c>
      <c r="E2494" s="2" t="s">
        <v>168</v>
      </c>
    </row>
    <row r="2495" customFormat="false" ht="15" hidden="false" customHeight="false" outlineLevel="0" collapsed="false">
      <c r="A2495" s="2" t="s">
        <v>296</v>
      </c>
      <c r="B2495" s="2" t="s">
        <v>693</v>
      </c>
      <c r="C2495" s="2" t="s">
        <v>632</v>
      </c>
      <c r="D2495" s="2" t="s">
        <v>523</v>
      </c>
      <c r="E2495" s="2" t="s">
        <v>170</v>
      </c>
    </row>
    <row r="2496" customFormat="false" ht="15" hidden="false" customHeight="false" outlineLevel="0" collapsed="false">
      <c r="A2496" s="2" t="s">
        <v>296</v>
      </c>
      <c r="B2496" s="2" t="s">
        <v>694</v>
      </c>
      <c r="C2496" s="2" t="s">
        <v>633</v>
      </c>
      <c r="D2496" s="2" t="s">
        <v>677</v>
      </c>
      <c r="E2496" s="2" t="s">
        <v>166</v>
      </c>
    </row>
    <row r="2497" customFormat="false" ht="15" hidden="false" customHeight="false" outlineLevel="0" collapsed="false">
      <c r="A2497" s="2" t="s">
        <v>296</v>
      </c>
      <c r="B2497" s="2" t="s">
        <v>678</v>
      </c>
      <c r="C2497" s="2" t="s">
        <v>634</v>
      </c>
      <c r="D2497" s="2" t="s">
        <v>679</v>
      </c>
      <c r="E2497" s="2" t="s">
        <v>166</v>
      </c>
    </row>
    <row r="2498" customFormat="false" ht="15" hidden="false" customHeight="false" outlineLevel="0" collapsed="false">
      <c r="A2498" s="2" t="s">
        <v>296</v>
      </c>
      <c r="B2498" s="2" t="s">
        <v>680</v>
      </c>
      <c r="C2498" s="2" t="s">
        <v>629</v>
      </c>
      <c r="D2498" s="2" t="s">
        <v>681</v>
      </c>
      <c r="E2498" s="2" t="s">
        <v>169</v>
      </c>
    </row>
    <row r="2499" customFormat="false" ht="15" hidden="false" customHeight="false" outlineLevel="0" collapsed="false">
      <c r="A2499" s="2" t="s">
        <v>296</v>
      </c>
      <c r="B2499" s="2" t="s">
        <v>370</v>
      </c>
      <c r="C2499" s="2" t="s">
        <v>627</v>
      </c>
      <c r="D2499" s="2" t="s">
        <v>682</v>
      </c>
      <c r="E2499" s="2" t="s">
        <v>166</v>
      </c>
    </row>
    <row r="2500" customFormat="false" ht="15" hidden="false" customHeight="false" outlineLevel="0" collapsed="false">
      <c r="A2500" s="2" t="s">
        <v>296</v>
      </c>
      <c r="B2500" s="2" t="s">
        <v>684</v>
      </c>
      <c r="C2500" s="2" t="s">
        <v>627</v>
      </c>
      <c r="D2500" s="2" t="s">
        <v>402</v>
      </c>
      <c r="E2500" s="2" t="s">
        <v>168</v>
      </c>
    </row>
    <row r="2501" customFormat="false" ht="15" hidden="false" customHeight="false" outlineLevel="0" collapsed="false">
      <c r="A2501" s="2" t="s">
        <v>296</v>
      </c>
      <c r="B2501" s="2" t="s">
        <v>410</v>
      </c>
      <c r="C2501" s="2" t="s">
        <v>627</v>
      </c>
      <c r="D2501" s="2" t="s">
        <v>402</v>
      </c>
      <c r="E2501" s="2" t="s">
        <v>168</v>
      </c>
    </row>
    <row r="2502" customFormat="false" ht="15" hidden="false" customHeight="false" outlineLevel="0" collapsed="false">
      <c r="A2502" s="2" t="s">
        <v>296</v>
      </c>
      <c r="B2502" s="2" t="s">
        <v>685</v>
      </c>
      <c r="C2502" s="2" t="s">
        <v>627</v>
      </c>
      <c r="D2502" s="2" t="s">
        <v>402</v>
      </c>
      <c r="E2502" s="2" t="s">
        <v>170</v>
      </c>
    </row>
    <row r="2503" customFormat="false" ht="15" hidden="false" customHeight="false" outlineLevel="0" collapsed="false">
      <c r="A2503" s="2" t="s">
        <v>296</v>
      </c>
      <c r="B2503" s="2" t="s">
        <v>686</v>
      </c>
      <c r="C2503" s="2" t="s">
        <v>628</v>
      </c>
      <c r="D2503" s="2" t="s">
        <v>687</v>
      </c>
      <c r="E2503" s="2" t="s">
        <v>166</v>
      </c>
    </row>
    <row r="2504" customFormat="false" ht="15" hidden="false" customHeight="false" outlineLevel="0" collapsed="false">
      <c r="A2504" s="2" t="s">
        <v>296</v>
      </c>
      <c r="B2504" s="2" t="s">
        <v>688</v>
      </c>
      <c r="C2504" s="2" t="s">
        <v>645</v>
      </c>
      <c r="D2504" s="2" t="s">
        <v>373</v>
      </c>
      <c r="E2504" s="2" t="s">
        <v>170</v>
      </c>
    </row>
    <row r="2505" customFormat="false" ht="15" hidden="false" customHeight="false" outlineLevel="0" collapsed="false">
      <c r="A2505" s="2" t="s">
        <v>297</v>
      </c>
      <c r="B2505" s="2" t="s">
        <v>649</v>
      </c>
      <c r="C2505" s="2" t="s">
        <v>635</v>
      </c>
      <c r="D2505" s="2" t="s">
        <v>487</v>
      </c>
      <c r="E2505" s="2" t="s">
        <v>166</v>
      </c>
    </row>
    <row r="2506" customFormat="false" ht="15" hidden="false" customHeight="false" outlineLevel="0" collapsed="false">
      <c r="A2506" s="2" t="s">
        <v>297</v>
      </c>
      <c r="B2506" s="2" t="s">
        <v>650</v>
      </c>
      <c r="C2506" s="2" t="s">
        <v>635</v>
      </c>
      <c r="D2506" s="2" t="s">
        <v>651</v>
      </c>
      <c r="E2506" s="2" t="s">
        <v>169</v>
      </c>
    </row>
    <row r="2507" customFormat="false" ht="15" hidden="false" customHeight="false" outlineLevel="0" collapsed="false">
      <c r="A2507" s="2" t="s">
        <v>297</v>
      </c>
      <c r="B2507" s="2" t="s">
        <v>652</v>
      </c>
      <c r="C2507" s="2" t="s">
        <v>635</v>
      </c>
      <c r="D2507" s="2" t="s">
        <v>653</v>
      </c>
      <c r="E2507" s="2" t="s">
        <v>169</v>
      </c>
    </row>
    <row r="2508" customFormat="false" ht="15" hidden="false" customHeight="false" outlineLevel="0" collapsed="false">
      <c r="A2508" s="2" t="s">
        <v>297</v>
      </c>
      <c r="B2508" s="2" t="s">
        <v>654</v>
      </c>
      <c r="C2508" s="2" t="s">
        <v>635</v>
      </c>
      <c r="D2508" s="2" t="s">
        <v>655</v>
      </c>
      <c r="E2508" s="2" t="s">
        <v>169</v>
      </c>
    </row>
    <row r="2509" customFormat="false" ht="15" hidden="false" customHeight="false" outlineLevel="0" collapsed="false">
      <c r="A2509" s="2" t="s">
        <v>297</v>
      </c>
      <c r="B2509" s="2" t="s">
        <v>656</v>
      </c>
      <c r="C2509" s="2" t="s">
        <v>642</v>
      </c>
      <c r="D2509" s="2" t="s">
        <v>487</v>
      </c>
      <c r="E2509" s="2" t="s">
        <v>166</v>
      </c>
    </row>
    <row r="2510" customFormat="false" ht="15" hidden="false" customHeight="false" outlineLevel="0" collapsed="false">
      <c r="A2510" s="2" t="s">
        <v>297</v>
      </c>
      <c r="B2510" s="2" t="s">
        <v>320</v>
      </c>
      <c r="C2510" s="2" t="s">
        <v>642</v>
      </c>
      <c r="D2510" s="2" t="s">
        <v>657</v>
      </c>
      <c r="E2510" s="2" t="s">
        <v>169</v>
      </c>
    </row>
    <row r="2511" customFormat="false" ht="15" hidden="false" customHeight="false" outlineLevel="0" collapsed="false">
      <c r="A2511" s="2" t="s">
        <v>297</v>
      </c>
      <c r="B2511" s="2" t="s">
        <v>658</v>
      </c>
      <c r="C2511" s="2" t="s">
        <v>642</v>
      </c>
      <c r="D2511" s="2" t="s">
        <v>487</v>
      </c>
      <c r="E2511" s="2" t="s">
        <v>166</v>
      </c>
    </row>
    <row r="2512" customFormat="false" ht="15" hidden="false" customHeight="false" outlineLevel="0" collapsed="false">
      <c r="A2512" s="2" t="s">
        <v>297</v>
      </c>
      <c r="B2512" s="2" t="s">
        <v>324</v>
      </c>
      <c r="C2512" s="2" t="s">
        <v>642</v>
      </c>
      <c r="D2512" s="2" t="s">
        <v>610</v>
      </c>
      <c r="E2512" s="2" t="s">
        <v>166</v>
      </c>
    </row>
    <row r="2513" customFormat="false" ht="15" hidden="false" customHeight="false" outlineLevel="0" collapsed="false">
      <c r="A2513" s="2" t="s">
        <v>297</v>
      </c>
      <c r="B2513" s="2" t="s">
        <v>660</v>
      </c>
      <c r="C2513" s="2" t="s">
        <v>640</v>
      </c>
      <c r="D2513" s="2" t="s">
        <v>355</v>
      </c>
      <c r="E2513" s="2" t="s">
        <v>166</v>
      </c>
    </row>
    <row r="2514" customFormat="false" ht="15" hidden="false" customHeight="false" outlineLevel="0" collapsed="false">
      <c r="A2514" s="2" t="s">
        <v>297</v>
      </c>
      <c r="B2514" s="2" t="s">
        <v>661</v>
      </c>
      <c r="C2514" s="2" t="s">
        <v>641</v>
      </c>
      <c r="D2514" s="2" t="s">
        <v>355</v>
      </c>
      <c r="E2514" s="2" t="s">
        <v>166</v>
      </c>
    </row>
    <row r="2515" customFormat="false" ht="15" hidden="false" customHeight="false" outlineLevel="0" collapsed="false">
      <c r="A2515" s="2" t="s">
        <v>297</v>
      </c>
      <c r="B2515" s="2" t="s">
        <v>662</v>
      </c>
      <c r="C2515" s="2" t="s">
        <v>630</v>
      </c>
      <c r="D2515" s="2" t="s">
        <v>585</v>
      </c>
      <c r="E2515" s="2" t="s">
        <v>167</v>
      </c>
    </row>
    <row r="2516" customFormat="false" ht="15" hidden="false" customHeight="false" outlineLevel="0" collapsed="false">
      <c r="A2516" s="2" t="s">
        <v>297</v>
      </c>
      <c r="B2516" s="2" t="s">
        <v>667</v>
      </c>
      <c r="C2516" s="2" t="s">
        <v>638</v>
      </c>
      <c r="D2516" s="2" t="s">
        <v>668</v>
      </c>
      <c r="E2516" s="2" t="s">
        <v>166</v>
      </c>
    </row>
    <row r="2517" customFormat="false" ht="15" hidden="false" customHeight="false" outlineLevel="0" collapsed="false">
      <c r="A2517" s="2" t="s">
        <v>297</v>
      </c>
      <c r="B2517" s="2" t="s">
        <v>669</v>
      </c>
      <c r="C2517" s="2" t="s">
        <v>636</v>
      </c>
      <c r="D2517" s="2" t="s">
        <v>670</v>
      </c>
      <c r="E2517" s="2" t="s">
        <v>166</v>
      </c>
    </row>
    <row r="2518" customFormat="false" ht="15" hidden="false" customHeight="false" outlineLevel="0" collapsed="false">
      <c r="A2518" s="2" t="s">
        <v>297</v>
      </c>
      <c r="B2518" s="2" t="s">
        <v>671</v>
      </c>
      <c r="C2518" s="2" t="s">
        <v>632</v>
      </c>
      <c r="D2518" s="2" t="s">
        <v>672</v>
      </c>
      <c r="E2518" s="2" t="s">
        <v>166</v>
      </c>
    </row>
    <row r="2519" customFormat="false" ht="15" hidden="false" customHeight="false" outlineLevel="0" collapsed="false">
      <c r="A2519" s="2" t="s">
        <v>297</v>
      </c>
      <c r="B2519" s="2" t="s">
        <v>693</v>
      </c>
      <c r="C2519" s="2" t="s">
        <v>632</v>
      </c>
      <c r="D2519" s="2" t="s">
        <v>523</v>
      </c>
      <c r="E2519" s="2" t="s">
        <v>170</v>
      </c>
    </row>
    <row r="2520" customFormat="false" ht="15" hidden="false" customHeight="false" outlineLevel="0" collapsed="false">
      <c r="A2520" s="2" t="s">
        <v>297</v>
      </c>
      <c r="B2520" s="2" t="s">
        <v>693</v>
      </c>
      <c r="C2520" s="2" t="s">
        <v>632</v>
      </c>
      <c r="D2520" s="2" t="s">
        <v>523</v>
      </c>
      <c r="E2520" s="2" t="s">
        <v>170</v>
      </c>
    </row>
    <row r="2521" customFormat="false" ht="15" hidden="false" customHeight="false" outlineLevel="0" collapsed="false">
      <c r="A2521" s="2" t="s">
        <v>297</v>
      </c>
      <c r="B2521" s="2" t="s">
        <v>694</v>
      </c>
      <c r="C2521" s="2" t="s">
        <v>633</v>
      </c>
      <c r="D2521" s="2" t="s">
        <v>677</v>
      </c>
      <c r="E2521" s="2" t="s">
        <v>166</v>
      </c>
    </row>
    <row r="2522" customFormat="false" ht="15" hidden="false" customHeight="false" outlineLevel="0" collapsed="false">
      <c r="A2522" s="2" t="s">
        <v>297</v>
      </c>
      <c r="B2522" s="2" t="s">
        <v>678</v>
      </c>
      <c r="C2522" s="2" t="s">
        <v>634</v>
      </c>
      <c r="D2522" s="2" t="s">
        <v>695</v>
      </c>
      <c r="E2522" s="2" t="s">
        <v>169</v>
      </c>
    </row>
    <row r="2523" customFormat="false" ht="15" hidden="false" customHeight="false" outlineLevel="0" collapsed="false">
      <c r="A2523" s="2" t="s">
        <v>297</v>
      </c>
      <c r="B2523" s="2" t="s">
        <v>680</v>
      </c>
      <c r="C2523" s="2" t="s">
        <v>629</v>
      </c>
      <c r="D2523" s="2" t="s">
        <v>681</v>
      </c>
      <c r="E2523" s="2" t="s">
        <v>169</v>
      </c>
    </row>
    <row r="2524" customFormat="false" ht="15" hidden="false" customHeight="false" outlineLevel="0" collapsed="false">
      <c r="A2524" s="2" t="s">
        <v>297</v>
      </c>
      <c r="B2524" s="2" t="s">
        <v>370</v>
      </c>
      <c r="C2524" s="2" t="s">
        <v>627</v>
      </c>
      <c r="D2524" s="2" t="s">
        <v>682</v>
      </c>
      <c r="E2524" s="2" t="s">
        <v>166</v>
      </c>
    </row>
    <row r="2525" customFormat="false" ht="15" hidden="false" customHeight="false" outlineLevel="0" collapsed="false">
      <c r="A2525" s="2" t="s">
        <v>297</v>
      </c>
      <c r="B2525" s="2" t="s">
        <v>683</v>
      </c>
      <c r="C2525" s="2" t="s">
        <v>627</v>
      </c>
      <c r="D2525" s="2" t="s">
        <v>402</v>
      </c>
      <c r="E2525" s="2" t="s">
        <v>168</v>
      </c>
    </row>
    <row r="2526" customFormat="false" ht="15" hidden="false" customHeight="false" outlineLevel="0" collapsed="false">
      <c r="A2526" s="2" t="s">
        <v>297</v>
      </c>
      <c r="B2526" s="2" t="s">
        <v>684</v>
      </c>
      <c r="C2526" s="2" t="s">
        <v>627</v>
      </c>
      <c r="D2526" s="2" t="s">
        <v>402</v>
      </c>
      <c r="E2526" s="2" t="s">
        <v>168</v>
      </c>
    </row>
    <row r="2527" customFormat="false" ht="15" hidden="false" customHeight="false" outlineLevel="0" collapsed="false">
      <c r="A2527" s="2" t="s">
        <v>297</v>
      </c>
      <c r="B2527" s="2" t="s">
        <v>410</v>
      </c>
      <c r="C2527" s="2" t="s">
        <v>627</v>
      </c>
      <c r="D2527" s="2" t="s">
        <v>402</v>
      </c>
      <c r="E2527" s="2" t="s">
        <v>168</v>
      </c>
    </row>
    <row r="2528" customFormat="false" ht="15" hidden="false" customHeight="false" outlineLevel="0" collapsed="false">
      <c r="A2528" s="2" t="s">
        <v>297</v>
      </c>
      <c r="B2528" s="2" t="s">
        <v>685</v>
      </c>
      <c r="C2528" s="2" t="s">
        <v>627</v>
      </c>
      <c r="D2528" s="2" t="s">
        <v>402</v>
      </c>
      <c r="E2528" s="2" t="s">
        <v>170</v>
      </c>
    </row>
    <row r="2529" customFormat="false" ht="15" hidden="false" customHeight="false" outlineLevel="0" collapsed="false">
      <c r="A2529" s="2" t="s">
        <v>297</v>
      </c>
      <c r="B2529" s="2" t="s">
        <v>686</v>
      </c>
      <c r="C2529" s="2" t="s">
        <v>628</v>
      </c>
      <c r="D2529" s="2" t="s">
        <v>687</v>
      </c>
      <c r="E2529" s="2" t="s">
        <v>166</v>
      </c>
    </row>
    <row r="2530" customFormat="false" ht="15" hidden="false" customHeight="false" outlineLevel="0" collapsed="false">
      <c r="A2530" s="2" t="s">
        <v>297</v>
      </c>
      <c r="B2530" s="2" t="s">
        <v>688</v>
      </c>
      <c r="C2530" s="2" t="s">
        <v>645</v>
      </c>
      <c r="D2530" s="2" t="s">
        <v>373</v>
      </c>
      <c r="E2530" s="2" t="s">
        <v>170</v>
      </c>
    </row>
    <row r="2531" customFormat="false" ht="15" hidden="false" customHeight="false" outlineLevel="0" collapsed="false">
      <c r="A2531" s="2" t="s">
        <v>297</v>
      </c>
      <c r="B2531" s="2" t="s">
        <v>709</v>
      </c>
      <c r="C2531" s="2" t="s">
        <v>645</v>
      </c>
      <c r="D2531" s="2" t="s">
        <v>710</v>
      </c>
      <c r="E2531" s="2" t="s">
        <v>167</v>
      </c>
    </row>
    <row r="2532" customFormat="false" ht="15" hidden="false" customHeight="false" outlineLevel="0" collapsed="false">
      <c r="A2532" s="2" t="s">
        <v>298</v>
      </c>
      <c r="B2532" s="2" t="s">
        <v>649</v>
      </c>
      <c r="C2532" s="2" t="s">
        <v>635</v>
      </c>
      <c r="D2532" s="2" t="s">
        <v>487</v>
      </c>
      <c r="E2532" s="2" t="s">
        <v>166</v>
      </c>
    </row>
    <row r="2533" customFormat="false" ht="15" hidden="false" customHeight="false" outlineLevel="0" collapsed="false">
      <c r="A2533" s="2" t="s">
        <v>298</v>
      </c>
      <c r="B2533" s="2" t="s">
        <v>650</v>
      </c>
      <c r="C2533" s="2" t="s">
        <v>635</v>
      </c>
      <c r="D2533" s="2" t="s">
        <v>651</v>
      </c>
      <c r="E2533" s="2" t="s">
        <v>169</v>
      </c>
    </row>
    <row r="2534" customFormat="false" ht="15" hidden="false" customHeight="false" outlineLevel="0" collapsed="false">
      <c r="A2534" s="2" t="s">
        <v>298</v>
      </c>
      <c r="B2534" s="2" t="s">
        <v>652</v>
      </c>
      <c r="C2534" s="2" t="s">
        <v>635</v>
      </c>
      <c r="D2534" s="2" t="s">
        <v>653</v>
      </c>
      <c r="E2534" s="2" t="s">
        <v>169</v>
      </c>
    </row>
    <row r="2535" customFormat="false" ht="15" hidden="false" customHeight="false" outlineLevel="0" collapsed="false">
      <c r="A2535" s="2" t="s">
        <v>298</v>
      </c>
      <c r="B2535" s="2" t="s">
        <v>654</v>
      </c>
      <c r="C2535" s="2" t="s">
        <v>635</v>
      </c>
      <c r="D2535" s="2" t="s">
        <v>655</v>
      </c>
      <c r="E2535" s="2" t="s">
        <v>169</v>
      </c>
    </row>
    <row r="2536" customFormat="false" ht="15" hidden="false" customHeight="false" outlineLevel="0" collapsed="false">
      <c r="A2536" s="2" t="s">
        <v>298</v>
      </c>
      <c r="B2536" s="2" t="s">
        <v>656</v>
      </c>
      <c r="C2536" s="2" t="s">
        <v>642</v>
      </c>
      <c r="D2536" s="2" t="s">
        <v>487</v>
      </c>
      <c r="E2536" s="2" t="s">
        <v>166</v>
      </c>
    </row>
    <row r="2537" customFormat="false" ht="15" hidden="false" customHeight="false" outlineLevel="0" collapsed="false">
      <c r="A2537" s="2" t="s">
        <v>298</v>
      </c>
      <c r="B2537" s="2" t="s">
        <v>320</v>
      </c>
      <c r="C2537" s="2" t="s">
        <v>642</v>
      </c>
      <c r="D2537" s="2" t="s">
        <v>657</v>
      </c>
      <c r="E2537" s="2" t="s">
        <v>169</v>
      </c>
    </row>
    <row r="2538" customFormat="false" ht="15" hidden="false" customHeight="false" outlineLevel="0" collapsed="false">
      <c r="A2538" s="2" t="s">
        <v>298</v>
      </c>
      <c r="B2538" s="2" t="s">
        <v>658</v>
      </c>
      <c r="C2538" s="2" t="s">
        <v>642</v>
      </c>
      <c r="D2538" s="2" t="s">
        <v>487</v>
      </c>
      <c r="E2538" s="2" t="s">
        <v>166</v>
      </c>
    </row>
    <row r="2539" customFormat="false" ht="15" hidden="false" customHeight="false" outlineLevel="0" collapsed="false">
      <c r="A2539" s="2" t="s">
        <v>298</v>
      </c>
      <c r="B2539" s="2" t="s">
        <v>324</v>
      </c>
      <c r="C2539" s="2" t="s">
        <v>642</v>
      </c>
      <c r="D2539" s="2" t="s">
        <v>610</v>
      </c>
      <c r="E2539" s="2" t="s">
        <v>166</v>
      </c>
    </row>
    <row r="2540" customFormat="false" ht="15" hidden="false" customHeight="false" outlineLevel="0" collapsed="false">
      <c r="A2540" s="2" t="s">
        <v>298</v>
      </c>
      <c r="B2540" s="2" t="s">
        <v>660</v>
      </c>
      <c r="C2540" s="2" t="s">
        <v>640</v>
      </c>
      <c r="D2540" s="2" t="s">
        <v>355</v>
      </c>
      <c r="E2540" s="2" t="s">
        <v>166</v>
      </c>
    </row>
    <row r="2541" customFormat="false" ht="15" hidden="false" customHeight="false" outlineLevel="0" collapsed="false">
      <c r="A2541" s="2" t="s">
        <v>298</v>
      </c>
      <c r="B2541" s="2" t="s">
        <v>661</v>
      </c>
      <c r="C2541" s="2" t="s">
        <v>641</v>
      </c>
      <c r="D2541" s="2" t="s">
        <v>355</v>
      </c>
      <c r="E2541" s="2" t="s">
        <v>166</v>
      </c>
    </row>
    <row r="2542" customFormat="false" ht="15" hidden="false" customHeight="false" outlineLevel="0" collapsed="false">
      <c r="A2542" s="2" t="s">
        <v>298</v>
      </c>
      <c r="B2542" s="2" t="s">
        <v>662</v>
      </c>
      <c r="C2542" s="2" t="s">
        <v>630</v>
      </c>
      <c r="D2542" s="2" t="s">
        <v>585</v>
      </c>
      <c r="E2542" s="2" t="s">
        <v>167</v>
      </c>
    </row>
    <row r="2543" customFormat="false" ht="15" hidden="false" customHeight="false" outlineLevel="0" collapsed="false">
      <c r="A2543" s="2" t="s">
        <v>298</v>
      </c>
      <c r="B2543" s="2" t="s">
        <v>667</v>
      </c>
      <c r="C2543" s="2" t="s">
        <v>638</v>
      </c>
      <c r="D2543" s="2" t="s">
        <v>668</v>
      </c>
      <c r="E2543" s="2" t="s">
        <v>166</v>
      </c>
    </row>
    <row r="2544" customFormat="false" ht="15" hidden="false" customHeight="false" outlineLevel="0" collapsed="false">
      <c r="A2544" s="2" t="s">
        <v>298</v>
      </c>
      <c r="B2544" s="2" t="s">
        <v>669</v>
      </c>
      <c r="C2544" s="2" t="s">
        <v>636</v>
      </c>
      <c r="D2544" s="2" t="s">
        <v>670</v>
      </c>
      <c r="E2544" s="2" t="s">
        <v>166</v>
      </c>
    </row>
    <row r="2545" customFormat="false" ht="15" hidden="false" customHeight="false" outlineLevel="0" collapsed="false">
      <c r="A2545" s="2" t="s">
        <v>298</v>
      </c>
      <c r="B2545" s="2" t="s">
        <v>671</v>
      </c>
      <c r="C2545" s="2" t="s">
        <v>632</v>
      </c>
      <c r="D2545" s="2" t="s">
        <v>672</v>
      </c>
      <c r="E2545" s="2" t="s">
        <v>166</v>
      </c>
    </row>
    <row r="2546" customFormat="false" ht="15" hidden="false" customHeight="false" outlineLevel="0" collapsed="false">
      <c r="A2546" s="2" t="s">
        <v>298</v>
      </c>
      <c r="B2546" s="2" t="s">
        <v>675</v>
      </c>
      <c r="C2546" s="2" t="s">
        <v>632</v>
      </c>
      <c r="D2546" s="2" t="s">
        <v>523</v>
      </c>
      <c r="E2546" s="2" t="s">
        <v>168</v>
      </c>
    </row>
    <row r="2547" customFormat="false" ht="15" hidden="false" customHeight="false" outlineLevel="0" collapsed="false">
      <c r="A2547" s="2" t="s">
        <v>298</v>
      </c>
      <c r="B2547" s="2" t="s">
        <v>412</v>
      </c>
      <c r="C2547" s="2" t="s">
        <v>632</v>
      </c>
      <c r="D2547" s="2" t="s">
        <v>523</v>
      </c>
      <c r="E2547" s="2" t="s">
        <v>168</v>
      </c>
    </row>
    <row r="2548" customFormat="false" ht="15" hidden="false" customHeight="false" outlineLevel="0" collapsed="false">
      <c r="A2548" s="2" t="s">
        <v>298</v>
      </c>
      <c r="B2548" s="2" t="s">
        <v>693</v>
      </c>
      <c r="C2548" s="2" t="s">
        <v>632</v>
      </c>
      <c r="D2548" s="2" t="s">
        <v>523</v>
      </c>
      <c r="E2548" s="2" t="s">
        <v>170</v>
      </c>
    </row>
    <row r="2549" customFormat="false" ht="15" hidden="false" customHeight="false" outlineLevel="0" collapsed="false">
      <c r="A2549" s="2" t="s">
        <v>298</v>
      </c>
      <c r="B2549" s="2" t="s">
        <v>694</v>
      </c>
      <c r="C2549" s="2" t="s">
        <v>633</v>
      </c>
      <c r="D2549" s="2" t="s">
        <v>677</v>
      </c>
      <c r="E2549" s="2" t="s">
        <v>166</v>
      </c>
    </row>
    <row r="2550" customFormat="false" ht="15" hidden="false" customHeight="false" outlineLevel="0" collapsed="false">
      <c r="A2550" s="2" t="s">
        <v>298</v>
      </c>
      <c r="B2550" s="2" t="s">
        <v>678</v>
      </c>
      <c r="C2550" s="2" t="s">
        <v>634</v>
      </c>
      <c r="D2550" s="2" t="s">
        <v>679</v>
      </c>
      <c r="E2550" s="2" t="s">
        <v>166</v>
      </c>
    </row>
    <row r="2551" customFormat="false" ht="15" hidden="false" customHeight="false" outlineLevel="0" collapsed="false">
      <c r="A2551" s="2" t="s">
        <v>298</v>
      </c>
      <c r="B2551" s="2" t="s">
        <v>680</v>
      </c>
      <c r="C2551" s="2" t="s">
        <v>629</v>
      </c>
      <c r="D2551" s="2" t="s">
        <v>681</v>
      </c>
      <c r="E2551" s="2" t="s">
        <v>169</v>
      </c>
    </row>
    <row r="2552" customFormat="false" ht="15" hidden="false" customHeight="false" outlineLevel="0" collapsed="false">
      <c r="A2552" s="2" t="s">
        <v>298</v>
      </c>
      <c r="B2552" s="2" t="s">
        <v>370</v>
      </c>
      <c r="C2552" s="2" t="s">
        <v>627</v>
      </c>
      <c r="D2552" s="2" t="s">
        <v>682</v>
      </c>
      <c r="E2552" s="2" t="s">
        <v>166</v>
      </c>
    </row>
    <row r="2553" customFormat="false" ht="15" hidden="false" customHeight="false" outlineLevel="0" collapsed="false">
      <c r="A2553" s="2" t="s">
        <v>298</v>
      </c>
      <c r="B2553" s="2" t="s">
        <v>696</v>
      </c>
      <c r="C2553" s="2" t="s">
        <v>627</v>
      </c>
      <c r="D2553" s="2" t="s">
        <v>402</v>
      </c>
      <c r="E2553" s="2" t="s">
        <v>168</v>
      </c>
    </row>
    <row r="2554" customFormat="false" ht="15" hidden="false" customHeight="false" outlineLevel="0" collapsed="false">
      <c r="A2554" s="2" t="s">
        <v>298</v>
      </c>
      <c r="B2554" s="2" t="s">
        <v>697</v>
      </c>
      <c r="C2554" s="2" t="s">
        <v>627</v>
      </c>
      <c r="D2554" s="2" t="s">
        <v>402</v>
      </c>
      <c r="E2554" s="2" t="s">
        <v>168</v>
      </c>
    </row>
    <row r="2555" customFormat="false" ht="15" hidden="false" customHeight="false" outlineLevel="0" collapsed="false">
      <c r="A2555" s="2" t="s">
        <v>298</v>
      </c>
      <c r="B2555" s="2" t="s">
        <v>683</v>
      </c>
      <c r="C2555" s="2" t="s">
        <v>627</v>
      </c>
      <c r="D2555" s="2" t="s">
        <v>402</v>
      </c>
      <c r="E2555" s="2" t="s">
        <v>168</v>
      </c>
    </row>
    <row r="2556" customFormat="false" ht="15" hidden="false" customHeight="false" outlineLevel="0" collapsed="false">
      <c r="A2556" s="2" t="s">
        <v>298</v>
      </c>
      <c r="B2556" s="2" t="s">
        <v>684</v>
      </c>
      <c r="C2556" s="2" t="s">
        <v>627</v>
      </c>
      <c r="D2556" s="2" t="s">
        <v>402</v>
      </c>
      <c r="E2556" s="2" t="s">
        <v>168</v>
      </c>
    </row>
    <row r="2557" customFormat="false" ht="15" hidden="false" customHeight="false" outlineLevel="0" collapsed="false">
      <c r="A2557" s="2" t="s">
        <v>298</v>
      </c>
      <c r="B2557" s="2" t="s">
        <v>410</v>
      </c>
      <c r="C2557" s="2" t="s">
        <v>627</v>
      </c>
      <c r="D2557" s="2" t="s">
        <v>402</v>
      </c>
      <c r="E2557" s="2" t="s">
        <v>168</v>
      </c>
    </row>
    <row r="2558" customFormat="false" ht="15" hidden="false" customHeight="false" outlineLevel="0" collapsed="false">
      <c r="A2558" s="2" t="s">
        <v>298</v>
      </c>
      <c r="B2558" s="2" t="s">
        <v>708</v>
      </c>
      <c r="C2558" s="2" t="s">
        <v>628</v>
      </c>
      <c r="D2558" s="2" t="s">
        <v>687</v>
      </c>
      <c r="E2558" s="2" t="s">
        <v>166</v>
      </c>
    </row>
    <row r="2559" customFormat="false" ht="15" hidden="false" customHeight="false" outlineLevel="0" collapsed="false">
      <c r="A2559" s="2" t="s">
        <v>298</v>
      </c>
      <c r="B2559" s="2" t="s">
        <v>688</v>
      </c>
      <c r="C2559" s="2" t="s">
        <v>645</v>
      </c>
      <c r="D2559" s="2" t="s">
        <v>373</v>
      </c>
      <c r="E2559" s="2" t="s">
        <v>170</v>
      </c>
    </row>
    <row r="2560" customFormat="false" ht="15" hidden="false" customHeight="false" outlineLevel="0" collapsed="false">
      <c r="A2560" s="2" t="s">
        <v>298</v>
      </c>
      <c r="B2560" s="2" t="s">
        <v>689</v>
      </c>
      <c r="C2560" s="2" t="s">
        <v>645</v>
      </c>
      <c r="D2560" s="2" t="s">
        <v>690</v>
      </c>
      <c r="E2560" s="2" t="s">
        <v>167</v>
      </c>
    </row>
    <row r="2561" customFormat="false" ht="15" hidden="false" customHeight="false" outlineLevel="0" collapsed="false">
      <c r="A2561" s="2" t="s">
        <v>298</v>
      </c>
      <c r="B2561" s="2" t="s">
        <v>691</v>
      </c>
      <c r="C2561" s="2" t="s">
        <v>645</v>
      </c>
      <c r="D2561" s="2" t="s">
        <v>690</v>
      </c>
      <c r="E2561" s="2" t="s">
        <v>167</v>
      </c>
    </row>
    <row r="2562" customFormat="false" ht="15" hidden="false" customHeight="false" outlineLevel="0" collapsed="false">
      <c r="A2562" s="2" t="s">
        <v>299</v>
      </c>
      <c r="B2562" s="2" t="s">
        <v>649</v>
      </c>
      <c r="C2562" s="2" t="s">
        <v>635</v>
      </c>
      <c r="D2562" s="2" t="s">
        <v>487</v>
      </c>
      <c r="E2562" s="2" t="s">
        <v>166</v>
      </c>
    </row>
    <row r="2563" customFormat="false" ht="15" hidden="false" customHeight="false" outlineLevel="0" collapsed="false">
      <c r="A2563" s="2" t="s">
        <v>299</v>
      </c>
      <c r="B2563" s="2" t="s">
        <v>650</v>
      </c>
      <c r="C2563" s="2" t="s">
        <v>635</v>
      </c>
      <c r="D2563" s="2" t="s">
        <v>651</v>
      </c>
      <c r="E2563" s="2" t="s">
        <v>169</v>
      </c>
    </row>
    <row r="2564" customFormat="false" ht="15" hidden="false" customHeight="false" outlineLevel="0" collapsed="false">
      <c r="A2564" s="2" t="s">
        <v>299</v>
      </c>
      <c r="B2564" s="2" t="s">
        <v>652</v>
      </c>
      <c r="C2564" s="2" t="s">
        <v>635</v>
      </c>
      <c r="D2564" s="2" t="s">
        <v>653</v>
      </c>
      <c r="E2564" s="2" t="s">
        <v>169</v>
      </c>
    </row>
    <row r="2565" customFormat="false" ht="15" hidden="false" customHeight="false" outlineLevel="0" collapsed="false">
      <c r="A2565" s="2" t="s">
        <v>299</v>
      </c>
      <c r="B2565" s="2" t="s">
        <v>654</v>
      </c>
      <c r="C2565" s="2" t="s">
        <v>635</v>
      </c>
      <c r="D2565" s="2" t="s">
        <v>655</v>
      </c>
      <c r="E2565" s="2" t="s">
        <v>169</v>
      </c>
    </row>
    <row r="2566" customFormat="false" ht="15" hidden="false" customHeight="false" outlineLevel="0" collapsed="false">
      <c r="A2566" s="2" t="s">
        <v>299</v>
      </c>
      <c r="B2566" s="2" t="s">
        <v>656</v>
      </c>
      <c r="C2566" s="2" t="s">
        <v>642</v>
      </c>
      <c r="D2566" s="2" t="s">
        <v>487</v>
      </c>
      <c r="E2566" s="2" t="s">
        <v>166</v>
      </c>
    </row>
    <row r="2567" customFormat="false" ht="15" hidden="false" customHeight="false" outlineLevel="0" collapsed="false">
      <c r="A2567" s="2" t="s">
        <v>299</v>
      </c>
      <c r="B2567" s="2" t="s">
        <v>320</v>
      </c>
      <c r="C2567" s="2" t="s">
        <v>642</v>
      </c>
      <c r="D2567" s="2" t="s">
        <v>657</v>
      </c>
      <c r="E2567" s="2" t="s">
        <v>169</v>
      </c>
    </row>
    <row r="2568" customFormat="false" ht="15" hidden="false" customHeight="false" outlineLevel="0" collapsed="false">
      <c r="A2568" s="2" t="s">
        <v>299</v>
      </c>
      <c r="B2568" s="2" t="s">
        <v>658</v>
      </c>
      <c r="C2568" s="2" t="s">
        <v>642</v>
      </c>
      <c r="D2568" s="2" t="s">
        <v>487</v>
      </c>
      <c r="E2568" s="2" t="s">
        <v>166</v>
      </c>
    </row>
    <row r="2569" customFormat="false" ht="15" hidden="false" customHeight="false" outlineLevel="0" collapsed="false">
      <c r="A2569" s="2" t="s">
        <v>299</v>
      </c>
      <c r="B2569" s="2" t="s">
        <v>324</v>
      </c>
      <c r="C2569" s="2" t="s">
        <v>642</v>
      </c>
      <c r="D2569" s="2" t="s">
        <v>610</v>
      </c>
      <c r="E2569" s="2" t="s">
        <v>166</v>
      </c>
    </row>
    <row r="2570" customFormat="false" ht="15" hidden="false" customHeight="false" outlineLevel="0" collapsed="false">
      <c r="A2570" s="2" t="s">
        <v>299</v>
      </c>
      <c r="B2570" s="2" t="s">
        <v>660</v>
      </c>
      <c r="C2570" s="2" t="s">
        <v>640</v>
      </c>
      <c r="D2570" s="2" t="s">
        <v>355</v>
      </c>
      <c r="E2570" s="2" t="s">
        <v>166</v>
      </c>
    </row>
    <row r="2571" customFormat="false" ht="15" hidden="false" customHeight="false" outlineLevel="0" collapsed="false">
      <c r="A2571" s="2" t="s">
        <v>299</v>
      </c>
      <c r="B2571" s="2" t="s">
        <v>661</v>
      </c>
      <c r="C2571" s="2" t="s">
        <v>641</v>
      </c>
      <c r="D2571" s="2" t="s">
        <v>355</v>
      </c>
      <c r="E2571" s="2" t="s">
        <v>166</v>
      </c>
    </row>
    <row r="2572" customFormat="false" ht="15" hidden="false" customHeight="false" outlineLevel="0" collapsed="false">
      <c r="A2572" s="2" t="s">
        <v>299</v>
      </c>
      <c r="B2572" s="2" t="s">
        <v>662</v>
      </c>
      <c r="C2572" s="2" t="s">
        <v>630</v>
      </c>
      <c r="D2572" s="2" t="s">
        <v>585</v>
      </c>
      <c r="E2572" s="2" t="s">
        <v>167</v>
      </c>
    </row>
    <row r="2573" customFormat="false" ht="15" hidden="false" customHeight="false" outlineLevel="0" collapsed="false">
      <c r="A2573" s="2" t="s">
        <v>299</v>
      </c>
      <c r="B2573" s="2" t="s">
        <v>667</v>
      </c>
      <c r="C2573" s="2" t="s">
        <v>638</v>
      </c>
      <c r="D2573" s="2" t="s">
        <v>668</v>
      </c>
      <c r="E2573" s="2" t="s">
        <v>166</v>
      </c>
    </row>
    <row r="2574" customFormat="false" ht="15" hidden="false" customHeight="false" outlineLevel="0" collapsed="false">
      <c r="A2574" s="2" t="s">
        <v>299</v>
      </c>
      <c r="B2574" s="2" t="s">
        <v>669</v>
      </c>
      <c r="C2574" s="2" t="s">
        <v>636</v>
      </c>
      <c r="D2574" s="2" t="s">
        <v>670</v>
      </c>
      <c r="E2574" s="2" t="s">
        <v>166</v>
      </c>
    </row>
    <row r="2575" customFormat="false" ht="15" hidden="false" customHeight="false" outlineLevel="0" collapsed="false">
      <c r="A2575" s="2" t="s">
        <v>299</v>
      </c>
      <c r="B2575" s="2" t="s">
        <v>671</v>
      </c>
      <c r="C2575" s="2" t="s">
        <v>632</v>
      </c>
      <c r="D2575" s="2" t="s">
        <v>672</v>
      </c>
      <c r="E2575" s="2" t="s">
        <v>166</v>
      </c>
    </row>
    <row r="2576" customFormat="false" ht="15" hidden="false" customHeight="false" outlineLevel="0" collapsed="false">
      <c r="A2576" s="2" t="s">
        <v>299</v>
      </c>
      <c r="B2576" s="2" t="s">
        <v>673</v>
      </c>
      <c r="C2576" s="2" t="s">
        <v>632</v>
      </c>
      <c r="D2576" s="2" t="s">
        <v>523</v>
      </c>
      <c r="E2576" s="2" t="s">
        <v>168</v>
      </c>
    </row>
    <row r="2577" customFormat="false" ht="15" hidden="false" customHeight="false" outlineLevel="0" collapsed="false">
      <c r="A2577" s="2" t="s">
        <v>299</v>
      </c>
      <c r="B2577" s="2" t="s">
        <v>674</v>
      </c>
      <c r="C2577" s="2" t="s">
        <v>632</v>
      </c>
      <c r="D2577" s="2" t="s">
        <v>523</v>
      </c>
      <c r="E2577" s="2" t="s">
        <v>168</v>
      </c>
    </row>
    <row r="2578" customFormat="false" ht="15" hidden="false" customHeight="false" outlineLevel="0" collapsed="false">
      <c r="A2578" s="2" t="s">
        <v>299</v>
      </c>
      <c r="B2578" s="2" t="s">
        <v>692</v>
      </c>
      <c r="C2578" s="2" t="s">
        <v>632</v>
      </c>
      <c r="D2578" s="2" t="s">
        <v>523</v>
      </c>
      <c r="E2578" s="2" t="s">
        <v>168</v>
      </c>
    </row>
    <row r="2579" customFormat="false" ht="15" hidden="false" customHeight="false" outlineLevel="0" collapsed="false">
      <c r="A2579" s="2" t="s">
        <v>299</v>
      </c>
      <c r="B2579" s="2" t="s">
        <v>675</v>
      </c>
      <c r="C2579" s="2" t="s">
        <v>632</v>
      </c>
      <c r="D2579" s="2" t="s">
        <v>523</v>
      </c>
      <c r="E2579" s="2" t="s">
        <v>168</v>
      </c>
    </row>
    <row r="2580" customFormat="false" ht="15" hidden="false" customHeight="false" outlineLevel="0" collapsed="false">
      <c r="A2580" s="2" t="s">
        <v>299</v>
      </c>
      <c r="B2580" s="2" t="s">
        <v>412</v>
      </c>
      <c r="C2580" s="2" t="s">
        <v>632</v>
      </c>
      <c r="D2580" s="2" t="s">
        <v>523</v>
      </c>
      <c r="E2580" s="2" t="s">
        <v>168</v>
      </c>
    </row>
    <row r="2581" customFormat="false" ht="15" hidden="false" customHeight="false" outlineLevel="0" collapsed="false">
      <c r="A2581" s="2" t="s">
        <v>299</v>
      </c>
      <c r="B2581" s="2" t="s">
        <v>694</v>
      </c>
      <c r="C2581" s="2" t="s">
        <v>633</v>
      </c>
      <c r="D2581" s="2" t="s">
        <v>677</v>
      </c>
      <c r="E2581" s="2" t="s">
        <v>166</v>
      </c>
    </row>
    <row r="2582" customFormat="false" ht="15" hidden="false" customHeight="false" outlineLevel="0" collapsed="false">
      <c r="A2582" s="2" t="s">
        <v>299</v>
      </c>
      <c r="B2582" s="2" t="s">
        <v>678</v>
      </c>
      <c r="C2582" s="2" t="s">
        <v>634</v>
      </c>
      <c r="D2582" s="2" t="s">
        <v>679</v>
      </c>
      <c r="E2582" s="2" t="s">
        <v>166</v>
      </c>
    </row>
    <row r="2583" customFormat="false" ht="15" hidden="false" customHeight="false" outlineLevel="0" collapsed="false">
      <c r="A2583" s="2" t="s">
        <v>299</v>
      </c>
      <c r="B2583" s="2" t="s">
        <v>680</v>
      </c>
      <c r="C2583" s="2" t="s">
        <v>629</v>
      </c>
      <c r="D2583" s="2" t="s">
        <v>681</v>
      </c>
      <c r="E2583" s="2" t="s">
        <v>169</v>
      </c>
    </row>
    <row r="2584" customFormat="false" ht="15" hidden="false" customHeight="false" outlineLevel="0" collapsed="false">
      <c r="A2584" s="2" t="s">
        <v>299</v>
      </c>
      <c r="B2584" s="2" t="s">
        <v>370</v>
      </c>
      <c r="C2584" s="2" t="s">
        <v>627</v>
      </c>
      <c r="D2584" s="2" t="s">
        <v>682</v>
      </c>
      <c r="E2584" s="2" t="s">
        <v>166</v>
      </c>
    </row>
    <row r="2585" customFormat="false" ht="15" hidden="false" customHeight="false" outlineLevel="0" collapsed="false">
      <c r="A2585" s="2" t="s">
        <v>299</v>
      </c>
      <c r="B2585" s="2" t="s">
        <v>684</v>
      </c>
      <c r="C2585" s="2" t="s">
        <v>627</v>
      </c>
      <c r="D2585" s="2" t="s">
        <v>402</v>
      </c>
      <c r="E2585" s="2" t="s">
        <v>168</v>
      </c>
    </row>
    <row r="2586" customFormat="false" ht="15" hidden="false" customHeight="false" outlineLevel="0" collapsed="false">
      <c r="A2586" s="2" t="s">
        <v>299</v>
      </c>
      <c r="B2586" s="2" t="s">
        <v>410</v>
      </c>
      <c r="C2586" s="2" t="s">
        <v>627</v>
      </c>
      <c r="D2586" s="2" t="s">
        <v>402</v>
      </c>
      <c r="E2586" s="2" t="s">
        <v>168</v>
      </c>
    </row>
    <row r="2587" customFormat="false" ht="15" hidden="false" customHeight="false" outlineLevel="0" collapsed="false">
      <c r="A2587" s="2" t="s">
        <v>299</v>
      </c>
      <c r="B2587" s="2" t="s">
        <v>685</v>
      </c>
      <c r="C2587" s="2" t="s">
        <v>627</v>
      </c>
      <c r="D2587" s="2" t="s">
        <v>402</v>
      </c>
      <c r="E2587" s="2" t="s">
        <v>170</v>
      </c>
    </row>
    <row r="2588" customFormat="false" ht="15" hidden="false" customHeight="false" outlineLevel="0" collapsed="false">
      <c r="A2588" s="2" t="s">
        <v>299</v>
      </c>
      <c r="B2588" s="2" t="s">
        <v>686</v>
      </c>
      <c r="C2588" s="2" t="s">
        <v>628</v>
      </c>
      <c r="D2588" s="2" t="s">
        <v>687</v>
      </c>
      <c r="E2588" s="2" t="s">
        <v>166</v>
      </c>
    </row>
    <row r="2589" customFormat="false" ht="15" hidden="false" customHeight="false" outlineLevel="0" collapsed="false">
      <c r="A2589" s="2" t="s">
        <v>299</v>
      </c>
      <c r="B2589" s="2" t="s">
        <v>688</v>
      </c>
      <c r="C2589" s="2" t="s">
        <v>645</v>
      </c>
      <c r="D2589" s="2" t="s">
        <v>373</v>
      </c>
      <c r="E2589" s="2" t="s">
        <v>170</v>
      </c>
    </row>
    <row r="2590" customFormat="false" ht="15" hidden="false" customHeight="false" outlineLevel="0" collapsed="false">
      <c r="A2590" s="2" t="s">
        <v>299</v>
      </c>
      <c r="B2590" s="2" t="s">
        <v>689</v>
      </c>
      <c r="C2590" s="2" t="s">
        <v>645</v>
      </c>
      <c r="D2590" s="2" t="s">
        <v>690</v>
      </c>
      <c r="E2590" s="2" t="s">
        <v>167</v>
      </c>
    </row>
    <row r="2591" customFormat="false" ht="15" hidden="false" customHeight="false" outlineLevel="0" collapsed="false">
      <c r="A2591" s="2" t="s">
        <v>299</v>
      </c>
      <c r="B2591" s="2" t="s">
        <v>691</v>
      </c>
      <c r="C2591" s="2" t="s">
        <v>645</v>
      </c>
      <c r="D2591" s="2" t="s">
        <v>690</v>
      </c>
      <c r="E2591" s="2" t="s">
        <v>167</v>
      </c>
    </row>
    <row r="2592" customFormat="false" ht="15" hidden="false" customHeight="false" outlineLevel="0" collapsed="false">
      <c r="A2592" s="2" t="s">
        <v>300</v>
      </c>
      <c r="B2592" s="2" t="s">
        <v>649</v>
      </c>
      <c r="C2592" s="2" t="s">
        <v>635</v>
      </c>
      <c r="D2592" s="2" t="s">
        <v>487</v>
      </c>
      <c r="E2592" s="2" t="s">
        <v>166</v>
      </c>
    </row>
    <row r="2593" customFormat="false" ht="15" hidden="false" customHeight="false" outlineLevel="0" collapsed="false">
      <c r="A2593" s="2" t="s">
        <v>300</v>
      </c>
      <c r="B2593" s="2" t="s">
        <v>650</v>
      </c>
      <c r="C2593" s="2" t="s">
        <v>635</v>
      </c>
      <c r="D2593" s="2" t="s">
        <v>651</v>
      </c>
      <c r="E2593" s="2" t="s">
        <v>169</v>
      </c>
    </row>
    <row r="2594" customFormat="false" ht="15" hidden="false" customHeight="false" outlineLevel="0" collapsed="false">
      <c r="A2594" s="2" t="s">
        <v>300</v>
      </c>
      <c r="B2594" s="2" t="s">
        <v>652</v>
      </c>
      <c r="C2594" s="2" t="s">
        <v>635</v>
      </c>
      <c r="D2594" s="2" t="s">
        <v>653</v>
      </c>
      <c r="E2594" s="2" t="s">
        <v>169</v>
      </c>
    </row>
    <row r="2595" customFormat="false" ht="15" hidden="false" customHeight="false" outlineLevel="0" collapsed="false">
      <c r="A2595" s="2" t="s">
        <v>300</v>
      </c>
      <c r="B2595" s="2" t="s">
        <v>654</v>
      </c>
      <c r="C2595" s="2" t="s">
        <v>635</v>
      </c>
      <c r="D2595" s="2" t="s">
        <v>655</v>
      </c>
      <c r="E2595" s="2" t="s">
        <v>169</v>
      </c>
    </row>
    <row r="2596" customFormat="false" ht="15" hidden="false" customHeight="false" outlineLevel="0" collapsed="false">
      <c r="A2596" s="2" t="s">
        <v>300</v>
      </c>
      <c r="B2596" s="2" t="s">
        <v>656</v>
      </c>
      <c r="C2596" s="2" t="s">
        <v>642</v>
      </c>
      <c r="D2596" s="2" t="s">
        <v>487</v>
      </c>
      <c r="E2596" s="2" t="s">
        <v>166</v>
      </c>
    </row>
    <row r="2597" customFormat="false" ht="15" hidden="false" customHeight="false" outlineLevel="0" collapsed="false">
      <c r="A2597" s="2" t="s">
        <v>300</v>
      </c>
      <c r="B2597" s="2" t="s">
        <v>320</v>
      </c>
      <c r="C2597" s="2" t="s">
        <v>642</v>
      </c>
      <c r="D2597" s="2" t="s">
        <v>657</v>
      </c>
      <c r="E2597" s="2" t="s">
        <v>169</v>
      </c>
    </row>
    <row r="2598" customFormat="false" ht="15" hidden="false" customHeight="false" outlineLevel="0" collapsed="false">
      <c r="A2598" s="2" t="s">
        <v>300</v>
      </c>
      <c r="B2598" s="2" t="s">
        <v>658</v>
      </c>
      <c r="C2598" s="2" t="s">
        <v>642</v>
      </c>
      <c r="D2598" s="2" t="s">
        <v>487</v>
      </c>
      <c r="E2598" s="2" t="s">
        <v>166</v>
      </c>
    </row>
    <row r="2599" customFormat="false" ht="15" hidden="false" customHeight="false" outlineLevel="0" collapsed="false">
      <c r="A2599" s="2" t="s">
        <v>300</v>
      </c>
      <c r="B2599" s="2" t="s">
        <v>324</v>
      </c>
      <c r="C2599" s="2" t="s">
        <v>642</v>
      </c>
      <c r="D2599" s="2" t="s">
        <v>610</v>
      </c>
      <c r="E2599" s="2" t="s">
        <v>166</v>
      </c>
    </row>
    <row r="2600" customFormat="false" ht="15" hidden="false" customHeight="false" outlineLevel="0" collapsed="false">
      <c r="A2600" s="2" t="s">
        <v>300</v>
      </c>
      <c r="B2600" s="2" t="s">
        <v>660</v>
      </c>
      <c r="C2600" s="2" t="s">
        <v>640</v>
      </c>
      <c r="D2600" s="2" t="s">
        <v>355</v>
      </c>
      <c r="E2600" s="2" t="s">
        <v>166</v>
      </c>
    </row>
    <row r="2601" customFormat="false" ht="15" hidden="false" customHeight="false" outlineLevel="0" collapsed="false">
      <c r="A2601" s="2" t="s">
        <v>300</v>
      </c>
      <c r="B2601" s="2" t="s">
        <v>661</v>
      </c>
      <c r="C2601" s="2" t="s">
        <v>641</v>
      </c>
      <c r="D2601" s="2" t="s">
        <v>355</v>
      </c>
      <c r="E2601" s="2" t="s">
        <v>166</v>
      </c>
    </row>
    <row r="2602" customFormat="false" ht="15" hidden="false" customHeight="false" outlineLevel="0" collapsed="false">
      <c r="A2602" s="2" t="s">
        <v>300</v>
      </c>
      <c r="B2602" s="2" t="s">
        <v>662</v>
      </c>
      <c r="C2602" s="2" t="s">
        <v>630</v>
      </c>
      <c r="D2602" s="2" t="s">
        <v>585</v>
      </c>
      <c r="E2602" s="2" t="s">
        <v>167</v>
      </c>
    </row>
    <row r="2603" customFormat="false" ht="15" hidden="false" customHeight="false" outlineLevel="0" collapsed="false">
      <c r="A2603" s="2" t="s">
        <v>300</v>
      </c>
      <c r="B2603" s="2" t="s">
        <v>663</v>
      </c>
      <c r="C2603" s="2" t="s">
        <v>631</v>
      </c>
      <c r="D2603" s="2" t="s">
        <v>664</v>
      </c>
      <c r="E2603" s="2" t="s">
        <v>166</v>
      </c>
    </row>
    <row r="2604" customFormat="false" ht="15" hidden="false" customHeight="false" outlineLevel="0" collapsed="false">
      <c r="A2604" s="2" t="s">
        <v>300</v>
      </c>
      <c r="B2604" s="2" t="s">
        <v>665</v>
      </c>
      <c r="C2604" s="2" t="s">
        <v>631</v>
      </c>
      <c r="D2604" s="2" t="s">
        <v>666</v>
      </c>
      <c r="E2604" s="2" t="s">
        <v>169</v>
      </c>
    </row>
    <row r="2605" customFormat="false" ht="15" hidden="false" customHeight="false" outlineLevel="0" collapsed="false">
      <c r="A2605" s="2" t="s">
        <v>300</v>
      </c>
      <c r="B2605" s="2" t="s">
        <v>667</v>
      </c>
      <c r="C2605" s="2" t="s">
        <v>638</v>
      </c>
      <c r="D2605" s="2" t="s">
        <v>668</v>
      </c>
      <c r="E2605" s="2" t="s">
        <v>166</v>
      </c>
    </row>
    <row r="2606" customFormat="false" ht="15" hidden="false" customHeight="false" outlineLevel="0" collapsed="false">
      <c r="A2606" s="2" t="s">
        <v>300</v>
      </c>
      <c r="B2606" s="2" t="s">
        <v>669</v>
      </c>
      <c r="C2606" s="2" t="s">
        <v>636</v>
      </c>
      <c r="D2606" s="2" t="s">
        <v>670</v>
      </c>
      <c r="E2606" s="2" t="s">
        <v>166</v>
      </c>
    </row>
    <row r="2607" customFormat="false" ht="15" hidden="false" customHeight="false" outlineLevel="0" collapsed="false">
      <c r="A2607" s="2" t="s">
        <v>300</v>
      </c>
      <c r="B2607" s="2" t="s">
        <v>671</v>
      </c>
      <c r="C2607" s="2" t="s">
        <v>632</v>
      </c>
      <c r="D2607" s="2" t="s">
        <v>672</v>
      </c>
      <c r="E2607" s="2" t="s">
        <v>166</v>
      </c>
    </row>
    <row r="2608" customFormat="false" ht="15" hidden="false" customHeight="false" outlineLevel="0" collapsed="false">
      <c r="A2608" s="2" t="s">
        <v>300</v>
      </c>
      <c r="B2608" s="2" t="s">
        <v>673</v>
      </c>
      <c r="C2608" s="2" t="s">
        <v>632</v>
      </c>
      <c r="D2608" s="2" t="s">
        <v>523</v>
      </c>
      <c r="E2608" s="2" t="s">
        <v>168</v>
      </c>
    </row>
    <row r="2609" customFormat="false" ht="15" hidden="false" customHeight="false" outlineLevel="0" collapsed="false">
      <c r="A2609" s="2" t="s">
        <v>300</v>
      </c>
      <c r="B2609" s="2" t="s">
        <v>674</v>
      </c>
      <c r="C2609" s="2" t="s">
        <v>632</v>
      </c>
      <c r="D2609" s="2" t="s">
        <v>523</v>
      </c>
      <c r="E2609" s="2" t="s">
        <v>168</v>
      </c>
    </row>
    <row r="2610" customFormat="false" ht="15" hidden="false" customHeight="false" outlineLevel="0" collapsed="false">
      <c r="A2610" s="2" t="s">
        <v>300</v>
      </c>
      <c r="B2610" s="2" t="s">
        <v>675</v>
      </c>
      <c r="C2610" s="2" t="s">
        <v>632</v>
      </c>
      <c r="D2610" s="2" t="s">
        <v>523</v>
      </c>
      <c r="E2610" s="2" t="s">
        <v>168</v>
      </c>
    </row>
    <row r="2611" customFormat="false" ht="15" hidden="false" customHeight="false" outlineLevel="0" collapsed="false">
      <c r="A2611" s="2" t="s">
        <v>300</v>
      </c>
      <c r="B2611" s="2" t="s">
        <v>412</v>
      </c>
      <c r="C2611" s="2" t="s">
        <v>632</v>
      </c>
      <c r="D2611" s="2" t="s">
        <v>523</v>
      </c>
      <c r="E2611" s="2" t="s">
        <v>168</v>
      </c>
    </row>
    <row r="2612" customFormat="false" ht="15" hidden="false" customHeight="false" outlineLevel="0" collapsed="false">
      <c r="A2612" s="2" t="s">
        <v>300</v>
      </c>
      <c r="B2612" s="2" t="s">
        <v>694</v>
      </c>
      <c r="C2612" s="2" t="s">
        <v>633</v>
      </c>
      <c r="D2612" s="2" t="s">
        <v>677</v>
      </c>
      <c r="E2612" s="2" t="s">
        <v>166</v>
      </c>
    </row>
    <row r="2613" customFormat="false" ht="15" hidden="false" customHeight="false" outlineLevel="0" collapsed="false">
      <c r="A2613" s="2" t="s">
        <v>300</v>
      </c>
      <c r="B2613" s="2" t="s">
        <v>678</v>
      </c>
      <c r="C2613" s="2" t="s">
        <v>634</v>
      </c>
      <c r="D2613" s="2" t="s">
        <v>695</v>
      </c>
      <c r="E2613" s="2" t="s">
        <v>169</v>
      </c>
    </row>
    <row r="2614" customFormat="false" ht="15" hidden="false" customHeight="false" outlineLevel="0" collapsed="false">
      <c r="A2614" s="2" t="s">
        <v>300</v>
      </c>
      <c r="B2614" s="2" t="s">
        <v>680</v>
      </c>
      <c r="C2614" s="2" t="s">
        <v>629</v>
      </c>
      <c r="D2614" s="2" t="s">
        <v>681</v>
      </c>
      <c r="E2614" s="2" t="s">
        <v>169</v>
      </c>
    </row>
    <row r="2615" customFormat="false" ht="15" hidden="false" customHeight="false" outlineLevel="0" collapsed="false">
      <c r="A2615" s="2" t="s">
        <v>300</v>
      </c>
      <c r="B2615" s="2" t="s">
        <v>370</v>
      </c>
      <c r="C2615" s="2" t="s">
        <v>627</v>
      </c>
      <c r="D2615" s="2" t="s">
        <v>682</v>
      </c>
      <c r="E2615" s="2" t="s">
        <v>166</v>
      </c>
    </row>
    <row r="2616" customFormat="false" ht="15" hidden="false" customHeight="false" outlineLevel="0" collapsed="false">
      <c r="A2616" s="2" t="s">
        <v>300</v>
      </c>
      <c r="B2616" s="2" t="s">
        <v>696</v>
      </c>
      <c r="C2616" s="2" t="s">
        <v>627</v>
      </c>
      <c r="D2616" s="2" t="s">
        <v>402</v>
      </c>
      <c r="E2616" s="2" t="s">
        <v>168</v>
      </c>
    </row>
    <row r="2617" customFormat="false" ht="15" hidden="false" customHeight="false" outlineLevel="0" collapsed="false">
      <c r="A2617" s="2" t="s">
        <v>300</v>
      </c>
      <c r="B2617" s="2" t="s">
        <v>697</v>
      </c>
      <c r="C2617" s="2" t="s">
        <v>627</v>
      </c>
      <c r="D2617" s="2" t="s">
        <v>402</v>
      </c>
      <c r="E2617" s="2" t="s">
        <v>168</v>
      </c>
    </row>
    <row r="2618" customFormat="false" ht="15" hidden="false" customHeight="false" outlineLevel="0" collapsed="false">
      <c r="A2618" s="2" t="s">
        <v>300</v>
      </c>
      <c r="B2618" s="2" t="s">
        <v>685</v>
      </c>
      <c r="C2618" s="2" t="s">
        <v>627</v>
      </c>
      <c r="D2618" s="2" t="s">
        <v>402</v>
      </c>
      <c r="E2618" s="2" t="s">
        <v>170</v>
      </c>
    </row>
    <row r="2619" customFormat="false" ht="15" hidden="false" customHeight="false" outlineLevel="0" collapsed="false">
      <c r="A2619" s="2" t="s">
        <v>300</v>
      </c>
      <c r="B2619" s="2" t="s">
        <v>686</v>
      </c>
      <c r="C2619" s="2" t="s">
        <v>628</v>
      </c>
      <c r="D2619" s="2" t="s">
        <v>687</v>
      </c>
      <c r="E2619" s="2" t="s">
        <v>166</v>
      </c>
    </row>
    <row r="2620" customFormat="false" ht="15" hidden="false" customHeight="false" outlineLevel="0" collapsed="false">
      <c r="A2620" s="2" t="s">
        <v>300</v>
      </c>
      <c r="B2620" s="2" t="s">
        <v>705</v>
      </c>
      <c r="C2620" s="2" t="s">
        <v>639</v>
      </c>
      <c r="D2620" s="2" t="s">
        <v>598</v>
      </c>
      <c r="E2620" s="2" t="s">
        <v>170</v>
      </c>
    </row>
    <row r="2621" customFormat="false" ht="15" hidden="false" customHeight="false" outlineLevel="0" collapsed="false">
      <c r="A2621" s="2" t="s">
        <v>300</v>
      </c>
      <c r="B2621" s="2" t="s">
        <v>705</v>
      </c>
      <c r="C2621" s="2" t="s">
        <v>639</v>
      </c>
      <c r="D2621" s="2" t="s">
        <v>598</v>
      </c>
      <c r="E2621" s="2" t="s">
        <v>170</v>
      </c>
    </row>
    <row r="2622" customFormat="false" ht="15" hidden="false" customHeight="false" outlineLevel="0" collapsed="false">
      <c r="A2622" s="2" t="s">
        <v>300</v>
      </c>
      <c r="B2622" s="2" t="s">
        <v>688</v>
      </c>
      <c r="C2622" s="2" t="s">
        <v>645</v>
      </c>
      <c r="D2622" s="2" t="s">
        <v>373</v>
      </c>
      <c r="E2622" s="2" t="s">
        <v>170</v>
      </c>
    </row>
    <row r="2623" customFormat="false" ht="15" hidden="false" customHeight="false" outlineLevel="0" collapsed="false">
      <c r="A2623" s="2" t="s">
        <v>300</v>
      </c>
      <c r="B2623" s="2" t="s">
        <v>689</v>
      </c>
      <c r="C2623" s="2" t="s">
        <v>645</v>
      </c>
      <c r="D2623" s="2" t="s">
        <v>690</v>
      </c>
      <c r="E2623" s="2" t="s">
        <v>167</v>
      </c>
    </row>
    <row r="2624" customFormat="false" ht="15" hidden="false" customHeight="false" outlineLevel="0" collapsed="false">
      <c r="A2624" s="2" t="s">
        <v>300</v>
      </c>
      <c r="B2624" s="2" t="s">
        <v>691</v>
      </c>
      <c r="C2624" s="2" t="s">
        <v>645</v>
      </c>
      <c r="D2624" s="2" t="s">
        <v>690</v>
      </c>
      <c r="E2624" s="2" t="s">
        <v>167</v>
      </c>
    </row>
    <row r="2625" customFormat="false" ht="15" hidden="false" customHeight="false" outlineLevel="0" collapsed="false">
      <c r="A2625" s="2" t="s">
        <v>301</v>
      </c>
      <c r="B2625" s="2" t="s">
        <v>649</v>
      </c>
      <c r="C2625" s="2" t="s">
        <v>635</v>
      </c>
      <c r="D2625" s="2" t="s">
        <v>487</v>
      </c>
      <c r="E2625" s="2" t="s">
        <v>166</v>
      </c>
    </row>
    <row r="2626" customFormat="false" ht="15" hidden="false" customHeight="false" outlineLevel="0" collapsed="false">
      <c r="A2626" s="2" t="s">
        <v>301</v>
      </c>
      <c r="B2626" s="2" t="s">
        <v>650</v>
      </c>
      <c r="C2626" s="2" t="s">
        <v>635</v>
      </c>
      <c r="D2626" s="2" t="s">
        <v>651</v>
      </c>
      <c r="E2626" s="2" t="s">
        <v>169</v>
      </c>
    </row>
    <row r="2627" customFormat="false" ht="15" hidden="false" customHeight="false" outlineLevel="0" collapsed="false">
      <c r="A2627" s="2" t="s">
        <v>301</v>
      </c>
      <c r="B2627" s="2" t="s">
        <v>652</v>
      </c>
      <c r="C2627" s="2" t="s">
        <v>635</v>
      </c>
      <c r="D2627" s="2" t="s">
        <v>653</v>
      </c>
      <c r="E2627" s="2" t="s">
        <v>169</v>
      </c>
    </row>
    <row r="2628" customFormat="false" ht="15" hidden="false" customHeight="false" outlineLevel="0" collapsed="false">
      <c r="A2628" s="2" t="s">
        <v>301</v>
      </c>
      <c r="B2628" s="2" t="s">
        <v>654</v>
      </c>
      <c r="C2628" s="2" t="s">
        <v>635</v>
      </c>
      <c r="D2628" s="2" t="s">
        <v>655</v>
      </c>
      <c r="E2628" s="2" t="s">
        <v>169</v>
      </c>
    </row>
    <row r="2629" customFormat="false" ht="15" hidden="false" customHeight="false" outlineLevel="0" collapsed="false">
      <c r="A2629" s="2" t="s">
        <v>301</v>
      </c>
      <c r="B2629" s="2" t="s">
        <v>656</v>
      </c>
      <c r="C2629" s="2" t="s">
        <v>642</v>
      </c>
      <c r="D2629" s="2" t="s">
        <v>487</v>
      </c>
      <c r="E2629" s="2" t="s">
        <v>166</v>
      </c>
    </row>
    <row r="2630" customFormat="false" ht="15" hidden="false" customHeight="false" outlineLevel="0" collapsed="false">
      <c r="A2630" s="2" t="s">
        <v>301</v>
      </c>
      <c r="B2630" s="2" t="s">
        <v>320</v>
      </c>
      <c r="C2630" s="2" t="s">
        <v>642</v>
      </c>
      <c r="D2630" s="2" t="s">
        <v>657</v>
      </c>
      <c r="E2630" s="2" t="s">
        <v>169</v>
      </c>
    </row>
    <row r="2631" customFormat="false" ht="15" hidden="false" customHeight="false" outlineLevel="0" collapsed="false">
      <c r="A2631" s="2" t="s">
        <v>301</v>
      </c>
      <c r="B2631" s="2" t="s">
        <v>658</v>
      </c>
      <c r="C2631" s="2" t="s">
        <v>642</v>
      </c>
      <c r="D2631" s="2" t="s">
        <v>487</v>
      </c>
      <c r="E2631" s="2" t="s">
        <v>166</v>
      </c>
    </row>
    <row r="2632" customFormat="false" ht="15" hidden="false" customHeight="false" outlineLevel="0" collapsed="false">
      <c r="A2632" s="2" t="s">
        <v>301</v>
      </c>
      <c r="B2632" s="2" t="s">
        <v>324</v>
      </c>
      <c r="C2632" s="2" t="s">
        <v>642</v>
      </c>
      <c r="D2632" s="2" t="s">
        <v>659</v>
      </c>
      <c r="E2632" s="2" t="s">
        <v>169</v>
      </c>
    </row>
    <row r="2633" customFormat="false" ht="15" hidden="false" customHeight="false" outlineLevel="0" collapsed="false">
      <c r="A2633" s="2" t="s">
        <v>301</v>
      </c>
      <c r="B2633" s="2" t="s">
        <v>660</v>
      </c>
      <c r="C2633" s="2" t="s">
        <v>640</v>
      </c>
      <c r="D2633" s="2" t="s">
        <v>355</v>
      </c>
      <c r="E2633" s="2" t="s">
        <v>166</v>
      </c>
    </row>
    <row r="2634" customFormat="false" ht="15" hidden="false" customHeight="false" outlineLevel="0" collapsed="false">
      <c r="A2634" s="2" t="s">
        <v>301</v>
      </c>
      <c r="B2634" s="2" t="s">
        <v>661</v>
      </c>
      <c r="C2634" s="2" t="s">
        <v>641</v>
      </c>
      <c r="D2634" s="2" t="s">
        <v>355</v>
      </c>
      <c r="E2634" s="2" t="s">
        <v>166</v>
      </c>
    </row>
    <row r="2635" customFormat="false" ht="15" hidden="false" customHeight="false" outlineLevel="0" collapsed="false">
      <c r="A2635" s="2" t="s">
        <v>301</v>
      </c>
      <c r="B2635" s="2" t="s">
        <v>662</v>
      </c>
      <c r="C2635" s="2" t="s">
        <v>630</v>
      </c>
      <c r="D2635" s="2" t="s">
        <v>585</v>
      </c>
      <c r="E2635" s="2" t="s">
        <v>167</v>
      </c>
    </row>
    <row r="2636" customFormat="false" ht="15" hidden="false" customHeight="false" outlineLevel="0" collapsed="false">
      <c r="A2636" s="2" t="s">
        <v>301</v>
      </c>
      <c r="B2636" s="2" t="s">
        <v>667</v>
      </c>
      <c r="C2636" s="2" t="s">
        <v>638</v>
      </c>
      <c r="D2636" s="2" t="s">
        <v>668</v>
      </c>
      <c r="E2636" s="2" t="s">
        <v>166</v>
      </c>
    </row>
    <row r="2637" customFormat="false" ht="15" hidden="false" customHeight="false" outlineLevel="0" collapsed="false">
      <c r="A2637" s="2" t="s">
        <v>301</v>
      </c>
      <c r="B2637" s="2" t="s">
        <v>669</v>
      </c>
      <c r="C2637" s="2" t="s">
        <v>636</v>
      </c>
      <c r="D2637" s="2" t="s">
        <v>670</v>
      </c>
      <c r="E2637" s="2" t="s">
        <v>166</v>
      </c>
    </row>
    <row r="2638" customFormat="false" ht="15" hidden="false" customHeight="false" outlineLevel="0" collapsed="false">
      <c r="A2638" s="2" t="s">
        <v>301</v>
      </c>
      <c r="B2638" s="2" t="s">
        <v>671</v>
      </c>
      <c r="C2638" s="2" t="s">
        <v>632</v>
      </c>
      <c r="D2638" s="2" t="s">
        <v>672</v>
      </c>
      <c r="E2638" s="2" t="s">
        <v>166</v>
      </c>
    </row>
    <row r="2639" customFormat="false" ht="15" hidden="false" customHeight="false" outlineLevel="0" collapsed="false">
      <c r="A2639" s="2" t="s">
        <v>301</v>
      </c>
      <c r="B2639" s="2" t="s">
        <v>675</v>
      </c>
      <c r="C2639" s="2" t="s">
        <v>632</v>
      </c>
      <c r="D2639" s="2" t="s">
        <v>523</v>
      </c>
      <c r="E2639" s="2" t="s">
        <v>168</v>
      </c>
    </row>
    <row r="2640" customFormat="false" ht="15" hidden="false" customHeight="false" outlineLevel="0" collapsed="false">
      <c r="A2640" s="2" t="s">
        <v>301</v>
      </c>
      <c r="B2640" s="2" t="s">
        <v>412</v>
      </c>
      <c r="C2640" s="2" t="s">
        <v>632</v>
      </c>
      <c r="D2640" s="2" t="s">
        <v>523</v>
      </c>
      <c r="E2640" s="2" t="s">
        <v>168</v>
      </c>
    </row>
    <row r="2641" customFormat="false" ht="15" hidden="false" customHeight="false" outlineLevel="0" collapsed="false">
      <c r="A2641" s="2" t="s">
        <v>301</v>
      </c>
      <c r="B2641" s="2" t="s">
        <v>693</v>
      </c>
      <c r="C2641" s="2" t="s">
        <v>632</v>
      </c>
      <c r="D2641" s="2" t="s">
        <v>523</v>
      </c>
      <c r="E2641" s="2" t="s">
        <v>170</v>
      </c>
    </row>
    <row r="2642" customFormat="false" ht="15" hidden="false" customHeight="false" outlineLevel="0" collapsed="false">
      <c r="A2642" s="2" t="s">
        <v>301</v>
      </c>
      <c r="B2642" s="2" t="s">
        <v>694</v>
      </c>
      <c r="C2642" s="2" t="s">
        <v>633</v>
      </c>
      <c r="D2642" s="2" t="s">
        <v>677</v>
      </c>
      <c r="E2642" s="2" t="s">
        <v>166</v>
      </c>
    </row>
    <row r="2643" customFormat="false" ht="15" hidden="false" customHeight="false" outlineLevel="0" collapsed="false">
      <c r="A2643" s="2" t="s">
        <v>301</v>
      </c>
      <c r="B2643" s="2" t="s">
        <v>678</v>
      </c>
      <c r="C2643" s="2" t="s">
        <v>634</v>
      </c>
      <c r="D2643" s="2" t="s">
        <v>679</v>
      </c>
      <c r="E2643" s="2" t="s">
        <v>166</v>
      </c>
    </row>
    <row r="2644" customFormat="false" ht="15" hidden="false" customHeight="false" outlineLevel="0" collapsed="false">
      <c r="A2644" s="2" t="s">
        <v>301</v>
      </c>
      <c r="B2644" s="2" t="s">
        <v>680</v>
      </c>
      <c r="C2644" s="2" t="s">
        <v>629</v>
      </c>
      <c r="D2644" s="2" t="s">
        <v>681</v>
      </c>
      <c r="E2644" s="2" t="s">
        <v>169</v>
      </c>
    </row>
    <row r="2645" customFormat="false" ht="15" hidden="false" customHeight="false" outlineLevel="0" collapsed="false">
      <c r="A2645" s="2" t="s">
        <v>301</v>
      </c>
      <c r="B2645" s="2" t="s">
        <v>370</v>
      </c>
      <c r="C2645" s="2" t="s">
        <v>627</v>
      </c>
      <c r="D2645" s="2" t="s">
        <v>682</v>
      </c>
      <c r="E2645" s="2" t="s">
        <v>166</v>
      </c>
    </row>
    <row r="2646" customFormat="false" ht="15" hidden="false" customHeight="false" outlineLevel="0" collapsed="false">
      <c r="A2646" s="2" t="s">
        <v>301</v>
      </c>
      <c r="B2646" s="2" t="s">
        <v>696</v>
      </c>
      <c r="C2646" s="2" t="s">
        <v>627</v>
      </c>
      <c r="D2646" s="2" t="s">
        <v>402</v>
      </c>
      <c r="E2646" s="2" t="s">
        <v>168</v>
      </c>
    </row>
    <row r="2647" customFormat="false" ht="15" hidden="false" customHeight="false" outlineLevel="0" collapsed="false">
      <c r="A2647" s="2" t="s">
        <v>301</v>
      </c>
      <c r="B2647" s="2" t="s">
        <v>697</v>
      </c>
      <c r="C2647" s="2" t="s">
        <v>627</v>
      </c>
      <c r="D2647" s="2" t="s">
        <v>402</v>
      </c>
      <c r="E2647" s="2" t="s">
        <v>168</v>
      </c>
    </row>
    <row r="2648" customFormat="false" ht="15" hidden="false" customHeight="false" outlineLevel="0" collapsed="false">
      <c r="A2648" s="2" t="s">
        <v>301</v>
      </c>
      <c r="B2648" s="2" t="s">
        <v>684</v>
      </c>
      <c r="C2648" s="2" t="s">
        <v>627</v>
      </c>
      <c r="D2648" s="2" t="s">
        <v>402</v>
      </c>
      <c r="E2648" s="2" t="s">
        <v>168</v>
      </c>
    </row>
    <row r="2649" customFormat="false" ht="15" hidden="false" customHeight="false" outlineLevel="0" collapsed="false">
      <c r="A2649" s="2" t="s">
        <v>301</v>
      </c>
      <c r="B2649" s="2" t="s">
        <v>410</v>
      </c>
      <c r="C2649" s="2" t="s">
        <v>627</v>
      </c>
      <c r="D2649" s="2" t="s">
        <v>402</v>
      </c>
      <c r="E2649" s="2" t="s">
        <v>168</v>
      </c>
    </row>
    <row r="2650" customFormat="false" ht="15" hidden="false" customHeight="false" outlineLevel="0" collapsed="false">
      <c r="A2650" s="2" t="s">
        <v>301</v>
      </c>
      <c r="B2650" s="2" t="s">
        <v>686</v>
      </c>
      <c r="C2650" s="2" t="s">
        <v>628</v>
      </c>
      <c r="D2650" s="2" t="s">
        <v>687</v>
      </c>
      <c r="E2650" s="2" t="s">
        <v>166</v>
      </c>
    </row>
    <row r="2651" customFormat="false" ht="15" hidden="false" customHeight="false" outlineLevel="0" collapsed="false">
      <c r="A2651" s="2" t="s">
        <v>301</v>
      </c>
      <c r="B2651" s="2" t="s">
        <v>688</v>
      </c>
      <c r="C2651" s="2" t="s">
        <v>645</v>
      </c>
      <c r="D2651" s="2" t="s">
        <v>373</v>
      </c>
      <c r="E2651" s="2" t="s">
        <v>170</v>
      </c>
    </row>
    <row r="2652" customFormat="false" ht="15" hidden="false" customHeight="false" outlineLevel="0" collapsed="false">
      <c r="A2652" s="2" t="s">
        <v>302</v>
      </c>
      <c r="B2652" s="2" t="s">
        <v>649</v>
      </c>
      <c r="C2652" s="2" t="s">
        <v>635</v>
      </c>
      <c r="D2652" s="2" t="s">
        <v>487</v>
      </c>
      <c r="E2652" s="2" t="s">
        <v>166</v>
      </c>
    </row>
    <row r="2653" customFormat="false" ht="15" hidden="false" customHeight="false" outlineLevel="0" collapsed="false">
      <c r="A2653" s="2" t="s">
        <v>302</v>
      </c>
      <c r="B2653" s="2" t="s">
        <v>650</v>
      </c>
      <c r="C2653" s="2" t="s">
        <v>635</v>
      </c>
      <c r="D2653" s="2" t="s">
        <v>651</v>
      </c>
      <c r="E2653" s="2" t="s">
        <v>169</v>
      </c>
    </row>
    <row r="2654" customFormat="false" ht="15" hidden="false" customHeight="false" outlineLevel="0" collapsed="false">
      <c r="A2654" s="2" t="s">
        <v>302</v>
      </c>
      <c r="B2654" s="2" t="s">
        <v>652</v>
      </c>
      <c r="C2654" s="2" t="s">
        <v>635</v>
      </c>
      <c r="D2654" s="2" t="s">
        <v>653</v>
      </c>
      <c r="E2654" s="2" t="s">
        <v>169</v>
      </c>
    </row>
    <row r="2655" customFormat="false" ht="15" hidden="false" customHeight="false" outlineLevel="0" collapsed="false">
      <c r="A2655" s="2" t="s">
        <v>302</v>
      </c>
      <c r="B2655" s="2" t="s">
        <v>654</v>
      </c>
      <c r="C2655" s="2" t="s">
        <v>635</v>
      </c>
      <c r="D2655" s="2" t="s">
        <v>655</v>
      </c>
      <c r="E2655" s="2" t="s">
        <v>169</v>
      </c>
    </row>
    <row r="2656" customFormat="false" ht="15" hidden="false" customHeight="false" outlineLevel="0" collapsed="false">
      <c r="A2656" s="2" t="s">
        <v>302</v>
      </c>
      <c r="B2656" s="2" t="s">
        <v>656</v>
      </c>
      <c r="C2656" s="2" t="s">
        <v>642</v>
      </c>
      <c r="D2656" s="2" t="s">
        <v>487</v>
      </c>
      <c r="E2656" s="2" t="s">
        <v>166</v>
      </c>
    </row>
    <row r="2657" customFormat="false" ht="15" hidden="false" customHeight="false" outlineLevel="0" collapsed="false">
      <c r="A2657" s="2" t="s">
        <v>302</v>
      </c>
      <c r="B2657" s="2" t="s">
        <v>320</v>
      </c>
      <c r="C2657" s="2" t="s">
        <v>642</v>
      </c>
      <c r="D2657" s="2" t="s">
        <v>657</v>
      </c>
      <c r="E2657" s="2" t="s">
        <v>169</v>
      </c>
    </row>
    <row r="2658" customFormat="false" ht="15" hidden="false" customHeight="false" outlineLevel="0" collapsed="false">
      <c r="A2658" s="2" t="s">
        <v>302</v>
      </c>
      <c r="B2658" s="2" t="s">
        <v>658</v>
      </c>
      <c r="C2658" s="2" t="s">
        <v>642</v>
      </c>
      <c r="D2658" s="2" t="s">
        <v>487</v>
      </c>
      <c r="E2658" s="2" t="s">
        <v>166</v>
      </c>
    </row>
    <row r="2659" customFormat="false" ht="15" hidden="false" customHeight="false" outlineLevel="0" collapsed="false">
      <c r="A2659" s="2" t="s">
        <v>302</v>
      </c>
      <c r="B2659" s="2" t="s">
        <v>324</v>
      </c>
      <c r="C2659" s="2" t="s">
        <v>642</v>
      </c>
      <c r="D2659" s="2" t="s">
        <v>610</v>
      </c>
      <c r="E2659" s="2" t="s">
        <v>166</v>
      </c>
    </row>
    <row r="2660" customFormat="false" ht="15" hidden="false" customHeight="false" outlineLevel="0" collapsed="false">
      <c r="A2660" s="2" t="s">
        <v>302</v>
      </c>
      <c r="B2660" s="2" t="s">
        <v>660</v>
      </c>
      <c r="C2660" s="2" t="s">
        <v>640</v>
      </c>
      <c r="D2660" s="2" t="s">
        <v>355</v>
      </c>
      <c r="E2660" s="2" t="s">
        <v>166</v>
      </c>
    </row>
    <row r="2661" customFormat="false" ht="15" hidden="false" customHeight="false" outlineLevel="0" collapsed="false">
      <c r="A2661" s="2" t="s">
        <v>302</v>
      </c>
      <c r="B2661" s="2" t="s">
        <v>661</v>
      </c>
      <c r="C2661" s="2" t="s">
        <v>641</v>
      </c>
      <c r="D2661" s="2" t="s">
        <v>355</v>
      </c>
      <c r="E2661" s="2" t="s">
        <v>166</v>
      </c>
    </row>
    <row r="2662" customFormat="false" ht="15" hidden="false" customHeight="false" outlineLevel="0" collapsed="false">
      <c r="A2662" s="2" t="s">
        <v>302</v>
      </c>
      <c r="B2662" s="2" t="s">
        <v>662</v>
      </c>
      <c r="C2662" s="2" t="s">
        <v>630</v>
      </c>
      <c r="D2662" s="2" t="s">
        <v>585</v>
      </c>
      <c r="E2662" s="2" t="s">
        <v>167</v>
      </c>
    </row>
    <row r="2663" customFormat="false" ht="15" hidden="false" customHeight="false" outlineLevel="0" collapsed="false">
      <c r="A2663" s="2" t="s">
        <v>302</v>
      </c>
      <c r="B2663" s="2" t="s">
        <v>663</v>
      </c>
      <c r="C2663" s="2" t="s">
        <v>631</v>
      </c>
      <c r="D2663" s="2" t="s">
        <v>664</v>
      </c>
      <c r="E2663" s="2" t="s">
        <v>166</v>
      </c>
    </row>
    <row r="2664" customFormat="false" ht="15" hidden="false" customHeight="false" outlineLevel="0" collapsed="false">
      <c r="A2664" s="2" t="s">
        <v>302</v>
      </c>
      <c r="B2664" s="2" t="s">
        <v>665</v>
      </c>
      <c r="C2664" s="2" t="s">
        <v>631</v>
      </c>
      <c r="D2664" s="2" t="s">
        <v>666</v>
      </c>
      <c r="E2664" s="2" t="s">
        <v>169</v>
      </c>
    </row>
    <row r="2665" customFormat="false" ht="15" hidden="false" customHeight="false" outlineLevel="0" collapsed="false">
      <c r="A2665" s="2" t="s">
        <v>302</v>
      </c>
      <c r="B2665" s="2" t="s">
        <v>667</v>
      </c>
      <c r="C2665" s="2" t="s">
        <v>638</v>
      </c>
      <c r="D2665" s="2" t="s">
        <v>668</v>
      </c>
      <c r="E2665" s="2" t="s">
        <v>166</v>
      </c>
    </row>
    <row r="2666" customFormat="false" ht="15" hidden="false" customHeight="false" outlineLevel="0" collapsed="false">
      <c r="A2666" s="2" t="s">
        <v>302</v>
      </c>
      <c r="B2666" s="2" t="s">
        <v>669</v>
      </c>
      <c r="C2666" s="2" t="s">
        <v>636</v>
      </c>
      <c r="D2666" s="2" t="s">
        <v>670</v>
      </c>
      <c r="E2666" s="2" t="s">
        <v>166</v>
      </c>
    </row>
    <row r="2667" customFormat="false" ht="15" hidden="false" customHeight="false" outlineLevel="0" collapsed="false">
      <c r="A2667" s="2" t="s">
        <v>302</v>
      </c>
      <c r="B2667" s="2" t="s">
        <v>671</v>
      </c>
      <c r="C2667" s="2" t="s">
        <v>632</v>
      </c>
      <c r="D2667" s="2" t="s">
        <v>712</v>
      </c>
      <c r="E2667" s="2" t="s">
        <v>166</v>
      </c>
    </row>
    <row r="2668" customFormat="false" ht="15" hidden="false" customHeight="false" outlineLevel="0" collapsed="false">
      <c r="A2668" s="2" t="s">
        <v>302</v>
      </c>
      <c r="B2668" s="2" t="s">
        <v>675</v>
      </c>
      <c r="C2668" s="2" t="s">
        <v>632</v>
      </c>
      <c r="D2668" s="2" t="s">
        <v>713</v>
      </c>
      <c r="E2668" s="2" t="s">
        <v>166</v>
      </c>
    </row>
    <row r="2669" customFormat="false" ht="15" hidden="false" customHeight="false" outlineLevel="0" collapsed="false">
      <c r="A2669" s="2" t="s">
        <v>302</v>
      </c>
      <c r="B2669" s="2" t="s">
        <v>412</v>
      </c>
      <c r="C2669" s="2" t="s">
        <v>632</v>
      </c>
      <c r="D2669" s="2" t="s">
        <v>713</v>
      </c>
      <c r="E2669" s="2" t="s">
        <v>166</v>
      </c>
    </row>
    <row r="2670" customFormat="false" ht="15" hidden="false" customHeight="false" outlineLevel="0" collapsed="false">
      <c r="A2670" s="2" t="s">
        <v>302</v>
      </c>
      <c r="B2670" s="2" t="s">
        <v>693</v>
      </c>
      <c r="C2670" s="2" t="s">
        <v>632</v>
      </c>
      <c r="D2670" s="2" t="s">
        <v>713</v>
      </c>
      <c r="E2670" s="2" t="s">
        <v>170</v>
      </c>
    </row>
    <row r="2671" customFormat="false" ht="15" hidden="false" customHeight="false" outlineLevel="0" collapsed="false">
      <c r="A2671" s="2" t="s">
        <v>302</v>
      </c>
      <c r="B2671" s="2" t="s">
        <v>694</v>
      </c>
      <c r="C2671" s="2" t="s">
        <v>633</v>
      </c>
      <c r="D2671" s="2" t="s">
        <v>714</v>
      </c>
      <c r="E2671" s="2" t="s">
        <v>166</v>
      </c>
    </row>
    <row r="2672" customFormat="false" ht="15" hidden="false" customHeight="false" outlineLevel="0" collapsed="false">
      <c r="A2672" s="2" t="s">
        <v>302</v>
      </c>
      <c r="B2672" s="2" t="s">
        <v>678</v>
      </c>
      <c r="C2672" s="2" t="s">
        <v>634</v>
      </c>
      <c r="D2672" s="2" t="s">
        <v>695</v>
      </c>
      <c r="E2672" s="2" t="s">
        <v>169</v>
      </c>
    </row>
    <row r="2673" customFormat="false" ht="15" hidden="false" customHeight="false" outlineLevel="0" collapsed="false">
      <c r="A2673" s="2" t="s">
        <v>302</v>
      </c>
      <c r="B2673" s="2" t="s">
        <v>680</v>
      </c>
      <c r="C2673" s="2" t="s">
        <v>629</v>
      </c>
      <c r="D2673" s="2" t="s">
        <v>681</v>
      </c>
      <c r="E2673" s="2" t="s">
        <v>169</v>
      </c>
    </row>
    <row r="2674" customFormat="false" ht="15" hidden="false" customHeight="false" outlineLevel="0" collapsed="false">
      <c r="A2674" s="2" t="s">
        <v>302</v>
      </c>
      <c r="B2674" s="2" t="s">
        <v>370</v>
      </c>
      <c r="C2674" s="2" t="s">
        <v>627</v>
      </c>
      <c r="D2674" s="2" t="s">
        <v>682</v>
      </c>
      <c r="E2674" s="2" t="s">
        <v>166</v>
      </c>
    </row>
    <row r="2675" customFormat="false" ht="15" hidden="false" customHeight="false" outlineLevel="0" collapsed="false">
      <c r="A2675" s="2" t="s">
        <v>302</v>
      </c>
      <c r="B2675" s="2" t="s">
        <v>696</v>
      </c>
      <c r="C2675" s="2" t="s">
        <v>627</v>
      </c>
      <c r="D2675" s="2" t="s">
        <v>402</v>
      </c>
      <c r="E2675" s="2" t="s">
        <v>168</v>
      </c>
    </row>
    <row r="2676" customFormat="false" ht="15" hidden="false" customHeight="false" outlineLevel="0" collapsed="false">
      <c r="A2676" s="2" t="s">
        <v>302</v>
      </c>
      <c r="B2676" s="2" t="s">
        <v>697</v>
      </c>
      <c r="C2676" s="2" t="s">
        <v>627</v>
      </c>
      <c r="D2676" s="2" t="s">
        <v>402</v>
      </c>
      <c r="E2676" s="2" t="s">
        <v>168</v>
      </c>
    </row>
    <row r="2677" customFormat="false" ht="15" hidden="false" customHeight="false" outlineLevel="0" collapsed="false">
      <c r="A2677" s="2" t="s">
        <v>302</v>
      </c>
      <c r="B2677" s="2" t="s">
        <v>684</v>
      </c>
      <c r="C2677" s="2" t="s">
        <v>627</v>
      </c>
      <c r="D2677" s="2" t="s">
        <v>402</v>
      </c>
      <c r="E2677" s="2" t="s">
        <v>168</v>
      </c>
    </row>
    <row r="2678" customFormat="false" ht="15" hidden="false" customHeight="false" outlineLevel="0" collapsed="false">
      <c r="A2678" s="2" t="s">
        <v>302</v>
      </c>
      <c r="B2678" s="2" t="s">
        <v>410</v>
      </c>
      <c r="C2678" s="2" t="s">
        <v>627</v>
      </c>
      <c r="D2678" s="2" t="s">
        <v>402</v>
      </c>
      <c r="E2678" s="2" t="s">
        <v>168</v>
      </c>
    </row>
    <row r="2679" customFormat="false" ht="15" hidden="false" customHeight="false" outlineLevel="0" collapsed="false">
      <c r="A2679" s="2" t="s">
        <v>302</v>
      </c>
      <c r="B2679" s="2" t="s">
        <v>686</v>
      </c>
      <c r="C2679" s="2" t="s">
        <v>628</v>
      </c>
      <c r="D2679" s="2" t="s">
        <v>687</v>
      </c>
      <c r="E2679" s="2" t="s">
        <v>166</v>
      </c>
    </row>
    <row r="2680" customFormat="false" ht="15" hidden="false" customHeight="false" outlineLevel="0" collapsed="false">
      <c r="A2680" s="2" t="s">
        <v>302</v>
      </c>
      <c r="B2680" s="2" t="s">
        <v>688</v>
      </c>
      <c r="C2680" s="2" t="s">
        <v>645</v>
      </c>
      <c r="D2680" s="2" t="s">
        <v>373</v>
      </c>
      <c r="E2680" s="2" t="s">
        <v>170</v>
      </c>
    </row>
    <row r="2681" customFormat="false" ht="15" hidden="false" customHeight="false" outlineLevel="0" collapsed="false">
      <c r="A2681" s="2" t="s">
        <v>303</v>
      </c>
      <c r="B2681" s="2" t="s">
        <v>649</v>
      </c>
      <c r="C2681" s="2" t="s">
        <v>635</v>
      </c>
      <c r="D2681" s="2" t="s">
        <v>487</v>
      </c>
      <c r="E2681" s="2" t="s">
        <v>166</v>
      </c>
    </row>
    <row r="2682" customFormat="false" ht="15" hidden="false" customHeight="false" outlineLevel="0" collapsed="false">
      <c r="A2682" s="2" t="s">
        <v>303</v>
      </c>
      <c r="B2682" s="2" t="s">
        <v>650</v>
      </c>
      <c r="C2682" s="2" t="s">
        <v>635</v>
      </c>
      <c r="D2682" s="2" t="s">
        <v>651</v>
      </c>
      <c r="E2682" s="2" t="s">
        <v>169</v>
      </c>
    </row>
    <row r="2683" customFormat="false" ht="15" hidden="false" customHeight="false" outlineLevel="0" collapsed="false">
      <c r="A2683" s="2" t="s">
        <v>303</v>
      </c>
      <c r="B2683" s="2" t="s">
        <v>652</v>
      </c>
      <c r="C2683" s="2" t="s">
        <v>635</v>
      </c>
      <c r="D2683" s="2" t="s">
        <v>653</v>
      </c>
      <c r="E2683" s="2" t="s">
        <v>169</v>
      </c>
    </row>
    <row r="2684" customFormat="false" ht="15" hidden="false" customHeight="false" outlineLevel="0" collapsed="false">
      <c r="A2684" s="2" t="s">
        <v>303</v>
      </c>
      <c r="B2684" s="2" t="s">
        <v>654</v>
      </c>
      <c r="C2684" s="2" t="s">
        <v>635</v>
      </c>
      <c r="D2684" s="2" t="s">
        <v>655</v>
      </c>
      <c r="E2684" s="2" t="s">
        <v>169</v>
      </c>
    </row>
    <row r="2685" customFormat="false" ht="15" hidden="false" customHeight="false" outlineLevel="0" collapsed="false">
      <c r="A2685" s="2" t="s">
        <v>303</v>
      </c>
      <c r="B2685" s="2" t="s">
        <v>656</v>
      </c>
      <c r="C2685" s="2" t="s">
        <v>642</v>
      </c>
      <c r="D2685" s="2" t="s">
        <v>487</v>
      </c>
      <c r="E2685" s="2" t="s">
        <v>166</v>
      </c>
    </row>
    <row r="2686" customFormat="false" ht="15" hidden="false" customHeight="false" outlineLevel="0" collapsed="false">
      <c r="A2686" s="2" t="s">
        <v>303</v>
      </c>
      <c r="B2686" s="2" t="s">
        <v>320</v>
      </c>
      <c r="C2686" s="2" t="s">
        <v>642</v>
      </c>
      <c r="D2686" s="2" t="s">
        <v>657</v>
      </c>
      <c r="E2686" s="2" t="s">
        <v>169</v>
      </c>
    </row>
    <row r="2687" customFormat="false" ht="15" hidden="false" customHeight="false" outlineLevel="0" collapsed="false">
      <c r="A2687" s="2" t="s">
        <v>303</v>
      </c>
      <c r="B2687" s="2" t="s">
        <v>658</v>
      </c>
      <c r="C2687" s="2" t="s">
        <v>642</v>
      </c>
      <c r="D2687" s="2" t="s">
        <v>487</v>
      </c>
      <c r="E2687" s="2" t="s">
        <v>166</v>
      </c>
    </row>
    <row r="2688" customFormat="false" ht="15" hidden="false" customHeight="false" outlineLevel="0" collapsed="false">
      <c r="A2688" s="2" t="s">
        <v>303</v>
      </c>
      <c r="B2688" s="2" t="s">
        <v>324</v>
      </c>
      <c r="C2688" s="2" t="s">
        <v>642</v>
      </c>
      <c r="D2688" s="2" t="s">
        <v>610</v>
      </c>
      <c r="E2688" s="2" t="s">
        <v>166</v>
      </c>
    </row>
    <row r="2689" customFormat="false" ht="15" hidden="false" customHeight="false" outlineLevel="0" collapsed="false">
      <c r="A2689" s="2" t="s">
        <v>303</v>
      </c>
      <c r="B2689" s="2" t="s">
        <v>660</v>
      </c>
      <c r="C2689" s="2" t="s">
        <v>640</v>
      </c>
      <c r="D2689" s="2" t="s">
        <v>355</v>
      </c>
      <c r="E2689" s="2" t="s">
        <v>166</v>
      </c>
    </row>
    <row r="2690" customFormat="false" ht="15" hidden="false" customHeight="false" outlineLevel="0" collapsed="false">
      <c r="A2690" s="2" t="s">
        <v>303</v>
      </c>
      <c r="B2690" s="2" t="s">
        <v>661</v>
      </c>
      <c r="C2690" s="2" t="s">
        <v>641</v>
      </c>
      <c r="D2690" s="2" t="s">
        <v>355</v>
      </c>
      <c r="E2690" s="2" t="s">
        <v>166</v>
      </c>
    </row>
    <row r="2691" customFormat="false" ht="15" hidden="false" customHeight="false" outlineLevel="0" collapsed="false">
      <c r="A2691" s="2" t="s">
        <v>303</v>
      </c>
      <c r="B2691" s="2" t="s">
        <v>662</v>
      </c>
      <c r="C2691" s="2" t="s">
        <v>630</v>
      </c>
      <c r="D2691" s="2" t="s">
        <v>585</v>
      </c>
      <c r="E2691" s="2" t="s">
        <v>167</v>
      </c>
    </row>
    <row r="2692" customFormat="false" ht="15" hidden="false" customHeight="false" outlineLevel="0" collapsed="false">
      <c r="A2692" s="2" t="s">
        <v>303</v>
      </c>
      <c r="B2692" s="2" t="s">
        <v>667</v>
      </c>
      <c r="C2692" s="2" t="s">
        <v>638</v>
      </c>
      <c r="D2692" s="2" t="s">
        <v>668</v>
      </c>
      <c r="E2692" s="2" t="s">
        <v>166</v>
      </c>
    </row>
    <row r="2693" customFormat="false" ht="15" hidden="false" customHeight="false" outlineLevel="0" collapsed="false">
      <c r="A2693" s="2" t="s">
        <v>303</v>
      </c>
      <c r="B2693" s="2" t="s">
        <v>669</v>
      </c>
      <c r="C2693" s="2" t="s">
        <v>636</v>
      </c>
      <c r="D2693" s="2" t="s">
        <v>670</v>
      </c>
      <c r="E2693" s="2" t="s">
        <v>166</v>
      </c>
    </row>
    <row r="2694" customFormat="false" ht="15" hidden="false" customHeight="false" outlineLevel="0" collapsed="false">
      <c r="A2694" s="2" t="s">
        <v>303</v>
      </c>
      <c r="B2694" s="2" t="s">
        <v>671</v>
      </c>
      <c r="C2694" s="2" t="s">
        <v>632</v>
      </c>
      <c r="D2694" s="2" t="s">
        <v>672</v>
      </c>
      <c r="E2694" s="2" t="s">
        <v>166</v>
      </c>
    </row>
    <row r="2695" customFormat="false" ht="15" hidden="false" customHeight="false" outlineLevel="0" collapsed="false">
      <c r="A2695" s="2" t="s">
        <v>303</v>
      </c>
      <c r="B2695" s="2" t="s">
        <v>673</v>
      </c>
      <c r="C2695" s="2" t="s">
        <v>632</v>
      </c>
      <c r="D2695" s="2" t="s">
        <v>523</v>
      </c>
      <c r="E2695" s="2" t="s">
        <v>168</v>
      </c>
    </row>
    <row r="2696" customFormat="false" ht="15" hidden="false" customHeight="false" outlineLevel="0" collapsed="false">
      <c r="A2696" s="2" t="s">
        <v>303</v>
      </c>
      <c r="B2696" s="2" t="s">
        <v>674</v>
      </c>
      <c r="C2696" s="2" t="s">
        <v>632</v>
      </c>
      <c r="D2696" s="2" t="s">
        <v>523</v>
      </c>
      <c r="E2696" s="2" t="s">
        <v>168</v>
      </c>
    </row>
    <row r="2697" customFormat="false" ht="15" hidden="false" customHeight="false" outlineLevel="0" collapsed="false">
      <c r="A2697" s="2" t="s">
        <v>303</v>
      </c>
      <c r="B2697" s="2" t="s">
        <v>692</v>
      </c>
      <c r="C2697" s="2" t="s">
        <v>632</v>
      </c>
      <c r="D2697" s="2" t="s">
        <v>523</v>
      </c>
      <c r="E2697" s="2" t="s">
        <v>168</v>
      </c>
    </row>
    <row r="2698" customFormat="false" ht="15" hidden="false" customHeight="false" outlineLevel="0" collapsed="false">
      <c r="A2698" s="2" t="s">
        <v>303</v>
      </c>
      <c r="B2698" s="2" t="s">
        <v>675</v>
      </c>
      <c r="C2698" s="2" t="s">
        <v>632</v>
      </c>
      <c r="D2698" s="2" t="s">
        <v>523</v>
      </c>
      <c r="E2698" s="2" t="s">
        <v>168</v>
      </c>
    </row>
    <row r="2699" customFormat="false" ht="15" hidden="false" customHeight="false" outlineLevel="0" collapsed="false">
      <c r="A2699" s="2" t="s">
        <v>303</v>
      </c>
      <c r="B2699" s="2" t="s">
        <v>702</v>
      </c>
      <c r="C2699" s="2" t="s">
        <v>632</v>
      </c>
      <c r="D2699" s="2" t="s">
        <v>523</v>
      </c>
      <c r="E2699" s="2" t="s">
        <v>168</v>
      </c>
    </row>
    <row r="2700" customFormat="false" ht="15" hidden="false" customHeight="false" outlineLevel="0" collapsed="false">
      <c r="A2700" s="2" t="s">
        <v>303</v>
      </c>
      <c r="B2700" s="2" t="s">
        <v>412</v>
      </c>
      <c r="C2700" s="2" t="s">
        <v>632</v>
      </c>
      <c r="D2700" s="2" t="s">
        <v>523</v>
      </c>
      <c r="E2700" s="2" t="s">
        <v>168</v>
      </c>
    </row>
    <row r="2701" customFormat="false" ht="15" hidden="false" customHeight="false" outlineLevel="0" collapsed="false">
      <c r="A2701" s="2" t="s">
        <v>303</v>
      </c>
      <c r="B2701" s="2" t="s">
        <v>676</v>
      </c>
      <c r="C2701" s="2" t="s">
        <v>633</v>
      </c>
      <c r="D2701" s="2" t="s">
        <v>677</v>
      </c>
      <c r="E2701" s="2" t="s">
        <v>166</v>
      </c>
    </row>
    <row r="2702" customFormat="false" ht="15" hidden="false" customHeight="false" outlineLevel="0" collapsed="false">
      <c r="A2702" s="2" t="s">
        <v>303</v>
      </c>
      <c r="B2702" s="2" t="s">
        <v>678</v>
      </c>
      <c r="C2702" s="2" t="s">
        <v>634</v>
      </c>
      <c r="D2702" s="2" t="s">
        <v>695</v>
      </c>
      <c r="E2702" s="2" t="s">
        <v>169</v>
      </c>
    </row>
    <row r="2703" customFormat="false" ht="15" hidden="false" customHeight="false" outlineLevel="0" collapsed="false">
      <c r="A2703" s="2" t="s">
        <v>303</v>
      </c>
      <c r="B2703" s="2" t="s">
        <v>680</v>
      </c>
      <c r="C2703" s="2" t="s">
        <v>629</v>
      </c>
      <c r="D2703" s="2" t="s">
        <v>681</v>
      </c>
      <c r="E2703" s="2" t="s">
        <v>169</v>
      </c>
    </row>
    <row r="2704" customFormat="false" ht="15" hidden="false" customHeight="false" outlineLevel="0" collapsed="false">
      <c r="A2704" s="2" t="s">
        <v>303</v>
      </c>
      <c r="B2704" s="2" t="s">
        <v>370</v>
      </c>
      <c r="C2704" s="2" t="s">
        <v>627</v>
      </c>
      <c r="D2704" s="2" t="s">
        <v>682</v>
      </c>
      <c r="E2704" s="2" t="s">
        <v>166</v>
      </c>
    </row>
    <row r="2705" customFormat="false" ht="15" hidden="false" customHeight="false" outlineLevel="0" collapsed="false">
      <c r="A2705" s="2" t="s">
        <v>303</v>
      </c>
      <c r="B2705" s="2" t="s">
        <v>684</v>
      </c>
      <c r="C2705" s="2" t="s">
        <v>627</v>
      </c>
      <c r="D2705" s="2" t="s">
        <v>402</v>
      </c>
      <c r="E2705" s="2" t="s">
        <v>168</v>
      </c>
    </row>
    <row r="2706" customFormat="false" ht="15" hidden="false" customHeight="false" outlineLevel="0" collapsed="false">
      <c r="A2706" s="2" t="s">
        <v>303</v>
      </c>
      <c r="B2706" s="2" t="s">
        <v>410</v>
      </c>
      <c r="C2706" s="2" t="s">
        <v>627</v>
      </c>
      <c r="D2706" s="2" t="s">
        <v>402</v>
      </c>
      <c r="E2706" s="2" t="s">
        <v>168</v>
      </c>
    </row>
    <row r="2707" customFormat="false" ht="15" hidden="false" customHeight="false" outlineLevel="0" collapsed="false">
      <c r="A2707" s="2" t="s">
        <v>303</v>
      </c>
      <c r="B2707" s="2" t="s">
        <v>685</v>
      </c>
      <c r="C2707" s="2" t="s">
        <v>627</v>
      </c>
      <c r="D2707" s="2" t="s">
        <v>402</v>
      </c>
      <c r="E2707" s="2" t="s">
        <v>170</v>
      </c>
    </row>
    <row r="2708" customFormat="false" ht="15" hidden="false" customHeight="false" outlineLevel="0" collapsed="false">
      <c r="A2708" s="2" t="s">
        <v>303</v>
      </c>
      <c r="B2708" s="2" t="s">
        <v>686</v>
      </c>
      <c r="C2708" s="2" t="s">
        <v>628</v>
      </c>
      <c r="D2708" s="2" t="s">
        <v>687</v>
      </c>
      <c r="E2708" s="2" t="s">
        <v>166</v>
      </c>
    </row>
    <row r="2709" customFormat="false" ht="15" hidden="false" customHeight="false" outlineLevel="0" collapsed="false">
      <c r="A2709" s="2" t="s">
        <v>303</v>
      </c>
      <c r="B2709" s="2" t="s">
        <v>711</v>
      </c>
      <c r="C2709" s="2" t="s">
        <v>644</v>
      </c>
      <c r="D2709" s="2" t="s">
        <v>604</v>
      </c>
      <c r="E2709" s="2" t="s">
        <v>170</v>
      </c>
    </row>
    <row r="2710" customFormat="false" ht="15" hidden="false" customHeight="false" outlineLevel="0" collapsed="false">
      <c r="A2710" s="2" t="s">
        <v>303</v>
      </c>
      <c r="B2710" s="2" t="s">
        <v>688</v>
      </c>
      <c r="C2710" s="2" t="s">
        <v>645</v>
      </c>
      <c r="D2710" s="2" t="s">
        <v>373</v>
      </c>
      <c r="E2710" s="2" t="s">
        <v>170</v>
      </c>
    </row>
    <row r="2711" customFormat="false" ht="15" hidden="false" customHeight="false" outlineLevel="0" collapsed="false">
      <c r="A2711" s="2" t="s">
        <v>304</v>
      </c>
      <c r="B2711" s="2" t="s">
        <v>649</v>
      </c>
      <c r="C2711" s="2" t="s">
        <v>635</v>
      </c>
      <c r="D2711" s="2" t="s">
        <v>487</v>
      </c>
      <c r="E2711" s="2" t="s">
        <v>166</v>
      </c>
    </row>
    <row r="2712" customFormat="false" ht="15" hidden="false" customHeight="false" outlineLevel="0" collapsed="false">
      <c r="A2712" s="2" t="s">
        <v>304</v>
      </c>
      <c r="B2712" s="2" t="s">
        <v>650</v>
      </c>
      <c r="C2712" s="2" t="s">
        <v>635</v>
      </c>
      <c r="D2712" s="2" t="s">
        <v>651</v>
      </c>
      <c r="E2712" s="2" t="s">
        <v>169</v>
      </c>
    </row>
    <row r="2713" customFormat="false" ht="15" hidden="false" customHeight="false" outlineLevel="0" collapsed="false">
      <c r="A2713" s="2" t="s">
        <v>304</v>
      </c>
      <c r="B2713" s="2" t="s">
        <v>652</v>
      </c>
      <c r="C2713" s="2" t="s">
        <v>635</v>
      </c>
      <c r="D2713" s="2" t="s">
        <v>653</v>
      </c>
      <c r="E2713" s="2" t="s">
        <v>169</v>
      </c>
    </row>
    <row r="2714" customFormat="false" ht="15" hidden="false" customHeight="false" outlineLevel="0" collapsed="false">
      <c r="A2714" s="2" t="s">
        <v>304</v>
      </c>
      <c r="B2714" s="2" t="s">
        <v>654</v>
      </c>
      <c r="C2714" s="2" t="s">
        <v>635</v>
      </c>
      <c r="D2714" s="2" t="s">
        <v>655</v>
      </c>
      <c r="E2714" s="2" t="s">
        <v>169</v>
      </c>
    </row>
    <row r="2715" customFormat="false" ht="15" hidden="false" customHeight="false" outlineLevel="0" collapsed="false">
      <c r="A2715" s="2" t="s">
        <v>304</v>
      </c>
      <c r="B2715" s="2" t="s">
        <v>656</v>
      </c>
      <c r="C2715" s="2" t="s">
        <v>642</v>
      </c>
      <c r="D2715" s="2" t="s">
        <v>487</v>
      </c>
      <c r="E2715" s="2" t="s">
        <v>166</v>
      </c>
    </row>
    <row r="2716" customFormat="false" ht="15" hidden="false" customHeight="false" outlineLevel="0" collapsed="false">
      <c r="A2716" s="2" t="s">
        <v>304</v>
      </c>
      <c r="B2716" s="2" t="s">
        <v>320</v>
      </c>
      <c r="C2716" s="2" t="s">
        <v>642</v>
      </c>
      <c r="D2716" s="2" t="s">
        <v>657</v>
      </c>
      <c r="E2716" s="2" t="s">
        <v>169</v>
      </c>
    </row>
    <row r="2717" customFormat="false" ht="15" hidden="false" customHeight="false" outlineLevel="0" collapsed="false">
      <c r="A2717" s="2" t="s">
        <v>304</v>
      </c>
      <c r="B2717" s="2" t="s">
        <v>658</v>
      </c>
      <c r="C2717" s="2" t="s">
        <v>642</v>
      </c>
      <c r="D2717" s="2" t="s">
        <v>487</v>
      </c>
      <c r="E2717" s="2" t="s">
        <v>166</v>
      </c>
    </row>
    <row r="2718" customFormat="false" ht="15" hidden="false" customHeight="false" outlineLevel="0" collapsed="false">
      <c r="A2718" s="2" t="s">
        <v>304</v>
      </c>
      <c r="B2718" s="2" t="s">
        <v>324</v>
      </c>
      <c r="C2718" s="2" t="s">
        <v>642</v>
      </c>
      <c r="D2718" s="2" t="s">
        <v>610</v>
      </c>
      <c r="E2718" s="2" t="s">
        <v>166</v>
      </c>
    </row>
    <row r="2719" customFormat="false" ht="15" hidden="false" customHeight="false" outlineLevel="0" collapsed="false">
      <c r="A2719" s="2" t="s">
        <v>304</v>
      </c>
      <c r="B2719" s="2" t="s">
        <v>660</v>
      </c>
      <c r="C2719" s="2" t="s">
        <v>640</v>
      </c>
      <c r="D2719" s="2" t="s">
        <v>355</v>
      </c>
      <c r="E2719" s="2" t="s">
        <v>166</v>
      </c>
    </row>
    <row r="2720" customFormat="false" ht="15" hidden="false" customHeight="false" outlineLevel="0" collapsed="false">
      <c r="A2720" s="2" t="s">
        <v>304</v>
      </c>
      <c r="B2720" s="2" t="s">
        <v>661</v>
      </c>
      <c r="C2720" s="2" t="s">
        <v>641</v>
      </c>
      <c r="D2720" s="2" t="s">
        <v>355</v>
      </c>
      <c r="E2720" s="2" t="s">
        <v>166</v>
      </c>
    </row>
    <row r="2721" customFormat="false" ht="15" hidden="false" customHeight="false" outlineLevel="0" collapsed="false">
      <c r="A2721" s="2" t="s">
        <v>304</v>
      </c>
      <c r="B2721" s="2" t="s">
        <v>662</v>
      </c>
      <c r="C2721" s="2" t="s">
        <v>630</v>
      </c>
      <c r="D2721" s="2" t="s">
        <v>585</v>
      </c>
      <c r="E2721" s="2" t="s">
        <v>167</v>
      </c>
    </row>
    <row r="2722" customFormat="false" ht="15" hidden="false" customHeight="false" outlineLevel="0" collapsed="false">
      <c r="A2722" s="2" t="s">
        <v>304</v>
      </c>
      <c r="B2722" s="2" t="s">
        <v>667</v>
      </c>
      <c r="C2722" s="2" t="s">
        <v>638</v>
      </c>
      <c r="D2722" s="2" t="s">
        <v>668</v>
      </c>
      <c r="E2722" s="2" t="s">
        <v>166</v>
      </c>
    </row>
    <row r="2723" customFormat="false" ht="15" hidden="false" customHeight="false" outlineLevel="0" collapsed="false">
      <c r="A2723" s="2" t="s">
        <v>304</v>
      </c>
      <c r="B2723" s="2" t="s">
        <v>669</v>
      </c>
      <c r="C2723" s="2" t="s">
        <v>636</v>
      </c>
      <c r="D2723" s="2" t="s">
        <v>670</v>
      </c>
      <c r="E2723" s="2" t="s">
        <v>166</v>
      </c>
    </row>
    <row r="2724" customFormat="false" ht="15" hidden="false" customHeight="false" outlineLevel="0" collapsed="false">
      <c r="A2724" s="2" t="s">
        <v>304</v>
      </c>
      <c r="B2724" s="2" t="s">
        <v>671</v>
      </c>
      <c r="C2724" s="2" t="s">
        <v>632</v>
      </c>
      <c r="D2724" s="2" t="s">
        <v>672</v>
      </c>
      <c r="E2724" s="2" t="s">
        <v>166</v>
      </c>
    </row>
    <row r="2725" customFormat="false" ht="15" hidden="false" customHeight="false" outlineLevel="0" collapsed="false">
      <c r="A2725" s="2" t="s">
        <v>304</v>
      </c>
      <c r="B2725" s="2" t="s">
        <v>692</v>
      </c>
      <c r="C2725" s="2" t="s">
        <v>632</v>
      </c>
      <c r="D2725" s="2" t="s">
        <v>523</v>
      </c>
      <c r="E2725" s="2" t="s">
        <v>168</v>
      </c>
    </row>
    <row r="2726" customFormat="false" ht="15" hidden="false" customHeight="false" outlineLevel="0" collapsed="false">
      <c r="A2726" s="2" t="s">
        <v>304</v>
      </c>
      <c r="B2726" s="2" t="s">
        <v>675</v>
      </c>
      <c r="C2726" s="2" t="s">
        <v>632</v>
      </c>
      <c r="D2726" s="2" t="s">
        <v>523</v>
      </c>
      <c r="E2726" s="2" t="s">
        <v>168</v>
      </c>
    </row>
    <row r="2727" customFormat="false" ht="15" hidden="false" customHeight="false" outlineLevel="0" collapsed="false">
      <c r="A2727" s="2" t="s">
        <v>304</v>
      </c>
      <c r="B2727" s="2" t="s">
        <v>412</v>
      </c>
      <c r="C2727" s="2" t="s">
        <v>632</v>
      </c>
      <c r="D2727" s="2" t="s">
        <v>523</v>
      </c>
      <c r="E2727" s="2" t="s">
        <v>168</v>
      </c>
    </row>
    <row r="2728" customFormat="false" ht="15" hidden="false" customHeight="false" outlineLevel="0" collapsed="false">
      <c r="A2728" s="2" t="s">
        <v>304</v>
      </c>
      <c r="B2728" s="2" t="s">
        <v>693</v>
      </c>
      <c r="C2728" s="2" t="s">
        <v>632</v>
      </c>
      <c r="D2728" s="2" t="s">
        <v>523</v>
      </c>
      <c r="E2728" s="2" t="s">
        <v>170</v>
      </c>
    </row>
    <row r="2729" customFormat="false" ht="15" hidden="false" customHeight="false" outlineLevel="0" collapsed="false">
      <c r="A2729" s="2" t="s">
        <v>304</v>
      </c>
      <c r="B2729" s="2" t="s">
        <v>676</v>
      </c>
      <c r="C2729" s="2" t="s">
        <v>633</v>
      </c>
      <c r="D2729" s="2" t="s">
        <v>677</v>
      </c>
      <c r="E2729" s="2" t="s">
        <v>166</v>
      </c>
    </row>
    <row r="2730" customFormat="false" ht="15" hidden="false" customHeight="false" outlineLevel="0" collapsed="false">
      <c r="A2730" s="2" t="s">
        <v>304</v>
      </c>
      <c r="B2730" s="2" t="s">
        <v>678</v>
      </c>
      <c r="C2730" s="2" t="s">
        <v>634</v>
      </c>
      <c r="D2730" s="2" t="s">
        <v>695</v>
      </c>
      <c r="E2730" s="2" t="s">
        <v>169</v>
      </c>
    </row>
    <row r="2731" customFormat="false" ht="15" hidden="false" customHeight="false" outlineLevel="0" collapsed="false">
      <c r="A2731" s="2" t="s">
        <v>304</v>
      </c>
      <c r="B2731" s="2" t="s">
        <v>680</v>
      </c>
      <c r="C2731" s="2" t="s">
        <v>629</v>
      </c>
      <c r="D2731" s="2" t="s">
        <v>681</v>
      </c>
      <c r="E2731" s="2" t="s">
        <v>169</v>
      </c>
    </row>
    <row r="2732" customFormat="false" ht="15" hidden="false" customHeight="false" outlineLevel="0" collapsed="false">
      <c r="A2732" s="2" t="s">
        <v>304</v>
      </c>
      <c r="B2732" s="2" t="s">
        <v>370</v>
      </c>
      <c r="C2732" s="2" t="s">
        <v>627</v>
      </c>
      <c r="D2732" s="2" t="s">
        <v>682</v>
      </c>
      <c r="E2732" s="2" t="s">
        <v>166</v>
      </c>
    </row>
    <row r="2733" customFormat="false" ht="15" hidden="false" customHeight="false" outlineLevel="0" collapsed="false">
      <c r="A2733" s="2" t="s">
        <v>304</v>
      </c>
      <c r="B2733" s="2" t="s">
        <v>684</v>
      </c>
      <c r="C2733" s="2" t="s">
        <v>627</v>
      </c>
      <c r="D2733" s="2" t="s">
        <v>402</v>
      </c>
      <c r="E2733" s="2" t="s">
        <v>168</v>
      </c>
    </row>
    <row r="2734" customFormat="false" ht="15" hidden="false" customHeight="false" outlineLevel="0" collapsed="false">
      <c r="A2734" s="2" t="s">
        <v>304</v>
      </c>
      <c r="B2734" s="2" t="s">
        <v>410</v>
      </c>
      <c r="C2734" s="2" t="s">
        <v>627</v>
      </c>
      <c r="D2734" s="2" t="s">
        <v>402</v>
      </c>
      <c r="E2734" s="2" t="s">
        <v>168</v>
      </c>
    </row>
    <row r="2735" customFormat="false" ht="15" hidden="false" customHeight="false" outlineLevel="0" collapsed="false">
      <c r="A2735" s="2" t="s">
        <v>304</v>
      </c>
      <c r="B2735" s="2" t="s">
        <v>685</v>
      </c>
      <c r="C2735" s="2" t="s">
        <v>627</v>
      </c>
      <c r="D2735" s="2" t="s">
        <v>402</v>
      </c>
      <c r="E2735" s="2" t="s">
        <v>170</v>
      </c>
    </row>
    <row r="2736" customFormat="false" ht="15" hidden="false" customHeight="false" outlineLevel="0" collapsed="false">
      <c r="A2736" s="2" t="s">
        <v>304</v>
      </c>
      <c r="B2736" s="2" t="s">
        <v>686</v>
      </c>
      <c r="C2736" s="2" t="s">
        <v>628</v>
      </c>
      <c r="D2736" s="2" t="s">
        <v>687</v>
      </c>
      <c r="E2736" s="2" t="s">
        <v>166</v>
      </c>
    </row>
    <row r="2737" customFormat="false" ht="15" hidden="false" customHeight="false" outlineLevel="0" collapsed="false">
      <c r="A2737" s="2" t="s">
        <v>304</v>
      </c>
      <c r="B2737" s="2" t="s">
        <v>711</v>
      </c>
      <c r="C2737" s="2" t="s">
        <v>644</v>
      </c>
      <c r="D2737" s="2" t="s">
        <v>604</v>
      </c>
      <c r="E2737" s="2" t="s">
        <v>170</v>
      </c>
    </row>
    <row r="2738" customFormat="false" ht="15" hidden="false" customHeight="false" outlineLevel="0" collapsed="false">
      <c r="A2738" s="2" t="s">
        <v>304</v>
      </c>
      <c r="B2738" s="2" t="s">
        <v>688</v>
      </c>
      <c r="C2738" s="2" t="s">
        <v>645</v>
      </c>
      <c r="D2738" s="2" t="s">
        <v>373</v>
      </c>
      <c r="E2738" s="2" t="s">
        <v>170</v>
      </c>
    </row>
    <row r="2739" customFormat="false" ht="15" hidden="false" customHeight="false" outlineLevel="0" collapsed="false">
      <c r="A2739" s="2" t="s">
        <v>304</v>
      </c>
      <c r="B2739" s="2" t="s">
        <v>689</v>
      </c>
      <c r="C2739" s="2" t="s">
        <v>645</v>
      </c>
      <c r="D2739" s="2" t="s">
        <v>690</v>
      </c>
      <c r="E2739" s="2" t="s">
        <v>167</v>
      </c>
    </row>
    <row r="2740" customFormat="false" ht="15" hidden="false" customHeight="false" outlineLevel="0" collapsed="false">
      <c r="A2740" s="2" t="s">
        <v>304</v>
      </c>
      <c r="B2740" s="2" t="s">
        <v>691</v>
      </c>
      <c r="C2740" s="2" t="s">
        <v>645</v>
      </c>
      <c r="D2740" s="2" t="s">
        <v>690</v>
      </c>
      <c r="E2740" s="2" t="s">
        <v>167</v>
      </c>
    </row>
    <row r="2741" customFormat="false" ht="15" hidden="false" customHeight="false" outlineLevel="0" collapsed="false">
      <c r="A2741" s="2" t="s">
        <v>305</v>
      </c>
      <c r="B2741" s="2" t="s">
        <v>649</v>
      </c>
      <c r="C2741" s="2" t="s">
        <v>635</v>
      </c>
      <c r="D2741" s="2" t="s">
        <v>487</v>
      </c>
      <c r="E2741" s="2" t="s">
        <v>166</v>
      </c>
    </row>
    <row r="2742" customFormat="false" ht="15" hidden="false" customHeight="false" outlineLevel="0" collapsed="false">
      <c r="A2742" s="2" t="s">
        <v>305</v>
      </c>
      <c r="B2742" s="2" t="s">
        <v>650</v>
      </c>
      <c r="C2742" s="2" t="s">
        <v>635</v>
      </c>
      <c r="D2742" s="2" t="s">
        <v>651</v>
      </c>
      <c r="E2742" s="2" t="s">
        <v>169</v>
      </c>
    </row>
    <row r="2743" customFormat="false" ht="15" hidden="false" customHeight="false" outlineLevel="0" collapsed="false">
      <c r="A2743" s="2" t="s">
        <v>305</v>
      </c>
      <c r="B2743" s="2" t="s">
        <v>652</v>
      </c>
      <c r="C2743" s="2" t="s">
        <v>635</v>
      </c>
      <c r="D2743" s="2" t="s">
        <v>653</v>
      </c>
      <c r="E2743" s="2" t="s">
        <v>169</v>
      </c>
    </row>
    <row r="2744" customFormat="false" ht="15" hidden="false" customHeight="false" outlineLevel="0" collapsed="false">
      <c r="A2744" s="2" t="s">
        <v>305</v>
      </c>
      <c r="B2744" s="2" t="s">
        <v>654</v>
      </c>
      <c r="C2744" s="2" t="s">
        <v>635</v>
      </c>
      <c r="D2744" s="2" t="s">
        <v>655</v>
      </c>
      <c r="E2744" s="2" t="s">
        <v>169</v>
      </c>
    </row>
    <row r="2745" customFormat="false" ht="15" hidden="false" customHeight="false" outlineLevel="0" collapsed="false">
      <c r="A2745" s="2" t="s">
        <v>305</v>
      </c>
      <c r="B2745" s="2" t="s">
        <v>656</v>
      </c>
      <c r="C2745" s="2" t="s">
        <v>642</v>
      </c>
      <c r="D2745" s="2" t="s">
        <v>487</v>
      </c>
      <c r="E2745" s="2" t="s">
        <v>166</v>
      </c>
    </row>
    <row r="2746" customFormat="false" ht="15" hidden="false" customHeight="false" outlineLevel="0" collapsed="false">
      <c r="A2746" s="2" t="s">
        <v>305</v>
      </c>
      <c r="B2746" s="2" t="s">
        <v>320</v>
      </c>
      <c r="C2746" s="2" t="s">
        <v>642</v>
      </c>
      <c r="D2746" s="2" t="s">
        <v>657</v>
      </c>
      <c r="E2746" s="2" t="s">
        <v>169</v>
      </c>
    </row>
    <row r="2747" customFormat="false" ht="15" hidden="false" customHeight="false" outlineLevel="0" collapsed="false">
      <c r="A2747" s="2" t="s">
        <v>305</v>
      </c>
      <c r="B2747" s="2" t="s">
        <v>658</v>
      </c>
      <c r="C2747" s="2" t="s">
        <v>642</v>
      </c>
      <c r="D2747" s="2" t="s">
        <v>487</v>
      </c>
      <c r="E2747" s="2" t="s">
        <v>166</v>
      </c>
    </row>
    <row r="2748" customFormat="false" ht="15" hidden="false" customHeight="false" outlineLevel="0" collapsed="false">
      <c r="A2748" s="2" t="s">
        <v>305</v>
      </c>
      <c r="B2748" s="2" t="s">
        <v>324</v>
      </c>
      <c r="C2748" s="2" t="s">
        <v>642</v>
      </c>
      <c r="D2748" s="2" t="s">
        <v>610</v>
      </c>
      <c r="E2748" s="2" t="s">
        <v>166</v>
      </c>
    </row>
    <row r="2749" customFormat="false" ht="15" hidden="false" customHeight="false" outlineLevel="0" collapsed="false">
      <c r="A2749" s="2" t="s">
        <v>305</v>
      </c>
      <c r="B2749" s="2" t="s">
        <v>704</v>
      </c>
      <c r="C2749" s="2" t="s">
        <v>643</v>
      </c>
      <c r="D2749" s="2" t="s">
        <v>494</v>
      </c>
      <c r="E2749" s="2" t="s">
        <v>167</v>
      </c>
    </row>
    <row r="2750" customFormat="false" ht="15" hidden="false" customHeight="false" outlineLevel="0" collapsed="false">
      <c r="A2750" s="2" t="s">
        <v>305</v>
      </c>
      <c r="B2750" s="2" t="s">
        <v>660</v>
      </c>
      <c r="C2750" s="2" t="s">
        <v>640</v>
      </c>
      <c r="D2750" s="2" t="s">
        <v>355</v>
      </c>
      <c r="E2750" s="2" t="s">
        <v>166</v>
      </c>
    </row>
    <row r="2751" customFormat="false" ht="15" hidden="false" customHeight="false" outlineLevel="0" collapsed="false">
      <c r="A2751" s="2" t="s">
        <v>305</v>
      </c>
      <c r="B2751" s="2" t="s">
        <v>661</v>
      </c>
      <c r="C2751" s="2" t="s">
        <v>641</v>
      </c>
      <c r="D2751" s="2" t="s">
        <v>355</v>
      </c>
      <c r="E2751" s="2" t="s">
        <v>166</v>
      </c>
    </row>
    <row r="2752" customFormat="false" ht="15" hidden="false" customHeight="false" outlineLevel="0" collapsed="false">
      <c r="A2752" s="2" t="s">
        <v>305</v>
      </c>
      <c r="B2752" s="2" t="s">
        <v>662</v>
      </c>
      <c r="C2752" s="2" t="s">
        <v>630</v>
      </c>
      <c r="D2752" s="2" t="s">
        <v>585</v>
      </c>
      <c r="E2752" s="2" t="s">
        <v>167</v>
      </c>
    </row>
    <row r="2753" customFormat="false" ht="15" hidden="false" customHeight="false" outlineLevel="0" collapsed="false">
      <c r="A2753" s="2" t="s">
        <v>305</v>
      </c>
      <c r="B2753" s="2" t="s">
        <v>667</v>
      </c>
      <c r="C2753" s="2" t="s">
        <v>638</v>
      </c>
      <c r="D2753" s="2" t="s">
        <v>668</v>
      </c>
      <c r="E2753" s="2" t="s">
        <v>166</v>
      </c>
    </row>
    <row r="2754" customFormat="false" ht="15" hidden="false" customHeight="false" outlineLevel="0" collapsed="false">
      <c r="A2754" s="2" t="s">
        <v>305</v>
      </c>
      <c r="B2754" s="2" t="s">
        <v>669</v>
      </c>
      <c r="C2754" s="2" t="s">
        <v>636</v>
      </c>
      <c r="D2754" s="2" t="s">
        <v>670</v>
      </c>
      <c r="E2754" s="2" t="s">
        <v>166</v>
      </c>
    </row>
    <row r="2755" customFormat="false" ht="15" hidden="false" customHeight="false" outlineLevel="0" collapsed="false">
      <c r="A2755" s="2" t="s">
        <v>305</v>
      </c>
      <c r="B2755" s="2" t="s">
        <v>671</v>
      </c>
      <c r="C2755" s="2" t="s">
        <v>632</v>
      </c>
      <c r="D2755" s="2" t="s">
        <v>672</v>
      </c>
      <c r="E2755" s="2" t="s">
        <v>166</v>
      </c>
    </row>
    <row r="2756" customFormat="false" ht="15" hidden="false" customHeight="false" outlineLevel="0" collapsed="false">
      <c r="A2756" s="2" t="s">
        <v>305</v>
      </c>
      <c r="B2756" s="2" t="s">
        <v>673</v>
      </c>
      <c r="C2756" s="2" t="s">
        <v>632</v>
      </c>
      <c r="D2756" s="2" t="s">
        <v>523</v>
      </c>
      <c r="E2756" s="2" t="s">
        <v>168</v>
      </c>
    </row>
    <row r="2757" customFormat="false" ht="15" hidden="false" customHeight="false" outlineLevel="0" collapsed="false">
      <c r="A2757" s="2" t="s">
        <v>305</v>
      </c>
      <c r="B2757" s="2" t="s">
        <v>674</v>
      </c>
      <c r="C2757" s="2" t="s">
        <v>632</v>
      </c>
      <c r="D2757" s="2" t="s">
        <v>523</v>
      </c>
      <c r="E2757" s="2" t="s">
        <v>168</v>
      </c>
    </row>
    <row r="2758" customFormat="false" ht="15" hidden="false" customHeight="false" outlineLevel="0" collapsed="false">
      <c r="A2758" s="2" t="s">
        <v>305</v>
      </c>
      <c r="B2758" s="2" t="s">
        <v>692</v>
      </c>
      <c r="C2758" s="2" t="s">
        <v>632</v>
      </c>
      <c r="D2758" s="2" t="s">
        <v>523</v>
      </c>
      <c r="E2758" s="2" t="s">
        <v>168</v>
      </c>
    </row>
    <row r="2759" customFormat="false" ht="15" hidden="false" customHeight="false" outlineLevel="0" collapsed="false">
      <c r="A2759" s="2" t="s">
        <v>305</v>
      </c>
      <c r="B2759" s="2" t="s">
        <v>675</v>
      </c>
      <c r="C2759" s="2" t="s">
        <v>632</v>
      </c>
      <c r="D2759" s="2" t="s">
        <v>523</v>
      </c>
      <c r="E2759" s="2" t="s">
        <v>168</v>
      </c>
    </row>
    <row r="2760" customFormat="false" ht="15" hidden="false" customHeight="false" outlineLevel="0" collapsed="false">
      <c r="A2760" s="2" t="s">
        <v>305</v>
      </c>
      <c r="B2760" s="2" t="s">
        <v>412</v>
      </c>
      <c r="C2760" s="2" t="s">
        <v>632</v>
      </c>
      <c r="D2760" s="2" t="s">
        <v>523</v>
      </c>
      <c r="E2760" s="2" t="s">
        <v>168</v>
      </c>
    </row>
    <row r="2761" customFormat="false" ht="15" hidden="false" customHeight="false" outlineLevel="0" collapsed="false">
      <c r="A2761" s="2" t="s">
        <v>305</v>
      </c>
      <c r="B2761" s="2" t="s">
        <v>694</v>
      </c>
      <c r="C2761" s="2" t="s">
        <v>633</v>
      </c>
      <c r="D2761" s="2" t="s">
        <v>677</v>
      </c>
      <c r="E2761" s="2" t="s">
        <v>166</v>
      </c>
    </row>
    <row r="2762" customFormat="false" ht="15" hidden="false" customHeight="false" outlineLevel="0" collapsed="false">
      <c r="A2762" s="2" t="s">
        <v>305</v>
      </c>
      <c r="B2762" s="2" t="s">
        <v>678</v>
      </c>
      <c r="C2762" s="2" t="s">
        <v>634</v>
      </c>
      <c r="D2762" s="2" t="s">
        <v>679</v>
      </c>
      <c r="E2762" s="2" t="s">
        <v>166</v>
      </c>
    </row>
    <row r="2763" customFormat="false" ht="15" hidden="false" customHeight="false" outlineLevel="0" collapsed="false">
      <c r="A2763" s="2" t="s">
        <v>305</v>
      </c>
      <c r="B2763" s="2" t="s">
        <v>680</v>
      </c>
      <c r="C2763" s="2" t="s">
        <v>629</v>
      </c>
      <c r="D2763" s="2" t="s">
        <v>681</v>
      </c>
      <c r="E2763" s="2" t="s">
        <v>169</v>
      </c>
    </row>
    <row r="2764" customFormat="false" ht="15" hidden="false" customHeight="false" outlineLevel="0" collapsed="false">
      <c r="A2764" s="2" t="s">
        <v>305</v>
      </c>
      <c r="B2764" s="2" t="s">
        <v>370</v>
      </c>
      <c r="C2764" s="2" t="s">
        <v>627</v>
      </c>
      <c r="D2764" s="2" t="s">
        <v>682</v>
      </c>
      <c r="E2764" s="2" t="s">
        <v>166</v>
      </c>
    </row>
    <row r="2765" customFormat="false" ht="15" hidden="false" customHeight="false" outlineLevel="0" collapsed="false">
      <c r="A2765" s="2" t="s">
        <v>305</v>
      </c>
      <c r="B2765" s="2" t="s">
        <v>684</v>
      </c>
      <c r="C2765" s="2" t="s">
        <v>627</v>
      </c>
      <c r="D2765" s="2" t="s">
        <v>402</v>
      </c>
      <c r="E2765" s="2" t="s">
        <v>168</v>
      </c>
    </row>
    <row r="2766" customFormat="false" ht="15" hidden="false" customHeight="false" outlineLevel="0" collapsed="false">
      <c r="A2766" s="2" t="s">
        <v>305</v>
      </c>
      <c r="B2766" s="2" t="s">
        <v>410</v>
      </c>
      <c r="C2766" s="2" t="s">
        <v>627</v>
      </c>
      <c r="D2766" s="2" t="s">
        <v>402</v>
      </c>
      <c r="E2766" s="2" t="s">
        <v>168</v>
      </c>
    </row>
    <row r="2767" customFormat="false" ht="15" hidden="false" customHeight="false" outlineLevel="0" collapsed="false">
      <c r="A2767" s="2" t="s">
        <v>305</v>
      </c>
      <c r="B2767" s="2" t="s">
        <v>685</v>
      </c>
      <c r="C2767" s="2" t="s">
        <v>627</v>
      </c>
      <c r="D2767" s="2" t="s">
        <v>402</v>
      </c>
      <c r="E2767" s="2" t="s">
        <v>170</v>
      </c>
    </row>
    <row r="2768" customFormat="false" ht="15" hidden="false" customHeight="false" outlineLevel="0" collapsed="false">
      <c r="A2768" s="2" t="s">
        <v>305</v>
      </c>
      <c r="B2768" s="2" t="s">
        <v>686</v>
      </c>
      <c r="C2768" s="2" t="s">
        <v>628</v>
      </c>
      <c r="D2768" s="2" t="s">
        <v>687</v>
      </c>
      <c r="E2768" s="2" t="s">
        <v>166</v>
      </c>
    </row>
    <row r="2769" customFormat="false" ht="15" hidden="false" customHeight="false" outlineLevel="0" collapsed="false">
      <c r="A2769" s="2" t="s">
        <v>305</v>
      </c>
      <c r="B2769" s="2" t="s">
        <v>705</v>
      </c>
      <c r="C2769" s="2" t="s">
        <v>639</v>
      </c>
      <c r="D2769" s="2" t="s">
        <v>598</v>
      </c>
      <c r="E2769" s="2" t="s">
        <v>170</v>
      </c>
    </row>
    <row r="2770" customFormat="false" ht="15" hidden="false" customHeight="false" outlineLevel="0" collapsed="false">
      <c r="A2770" s="2" t="s">
        <v>305</v>
      </c>
      <c r="B2770" s="2" t="s">
        <v>705</v>
      </c>
      <c r="C2770" s="2" t="s">
        <v>639</v>
      </c>
      <c r="D2770" s="2" t="s">
        <v>598</v>
      </c>
      <c r="E2770" s="2" t="s">
        <v>170</v>
      </c>
    </row>
    <row r="2771" customFormat="false" ht="15" hidden="false" customHeight="false" outlineLevel="0" collapsed="false">
      <c r="A2771" s="2" t="s">
        <v>305</v>
      </c>
      <c r="B2771" s="2" t="s">
        <v>688</v>
      </c>
      <c r="C2771" s="2" t="s">
        <v>645</v>
      </c>
      <c r="D2771" s="2" t="s">
        <v>373</v>
      </c>
      <c r="E2771" s="2" t="s">
        <v>170</v>
      </c>
    </row>
    <row r="2772" customFormat="false" ht="15" hidden="false" customHeight="false" outlineLevel="0" collapsed="false">
      <c r="A2772" s="2" t="s">
        <v>306</v>
      </c>
      <c r="B2772" s="2" t="s">
        <v>649</v>
      </c>
      <c r="C2772" s="2" t="s">
        <v>635</v>
      </c>
      <c r="D2772" s="2" t="s">
        <v>487</v>
      </c>
      <c r="E2772" s="2" t="s">
        <v>166</v>
      </c>
    </row>
    <row r="2773" customFormat="false" ht="15" hidden="false" customHeight="false" outlineLevel="0" collapsed="false">
      <c r="A2773" s="2" t="s">
        <v>306</v>
      </c>
      <c r="B2773" s="2" t="s">
        <v>650</v>
      </c>
      <c r="C2773" s="2" t="s">
        <v>635</v>
      </c>
      <c r="D2773" s="2" t="s">
        <v>651</v>
      </c>
      <c r="E2773" s="2" t="s">
        <v>169</v>
      </c>
    </row>
    <row r="2774" customFormat="false" ht="15" hidden="false" customHeight="false" outlineLevel="0" collapsed="false">
      <c r="A2774" s="2" t="s">
        <v>306</v>
      </c>
      <c r="B2774" s="2" t="s">
        <v>652</v>
      </c>
      <c r="C2774" s="2" t="s">
        <v>635</v>
      </c>
      <c r="D2774" s="2" t="s">
        <v>653</v>
      </c>
      <c r="E2774" s="2" t="s">
        <v>169</v>
      </c>
    </row>
    <row r="2775" customFormat="false" ht="15" hidden="false" customHeight="false" outlineLevel="0" collapsed="false">
      <c r="A2775" s="2" t="s">
        <v>306</v>
      </c>
      <c r="B2775" s="2" t="s">
        <v>654</v>
      </c>
      <c r="C2775" s="2" t="s">
        <v>635</v>
      </c>
      <c r="D2775" s="2" t="s">
        <v>655</v>
      </c>
      <c r="E2775" s="2" t="s">
        <v>169</v>
      </c>
    </row>
    <row r="2776" customFormat="false" ht="15" hidden="false" customHeight="false" outlineLevel="0" collapsed="false">
      <c r="A2776" s="2" t="s">
        <v>306</v>
      </c>
      <c r="B2776" s="2" t="s">
        <v>656</v>
      </c>
      <c r="C2776" s="2" t="s">
        <v>642</v>
      </c>
      <c r="D2776" s="2" t="s">
        <v>487</v>
      </c>
      <c r="E2776" s="2" t="s">
        <v>166</v>
      </c>
    </row>
    <row r="2777" customFormat="false" ht="15" hidden="false" customHeight="false" outlineLevel="0" collapsed="false">
      <c r="A2777" s="2" t="s">
        <v>306</v>
      </c>
      <c r="B2777" s="2" t="s">
        <v>320</v>
      </c>
      <c r="C2777" s="2" t="s">
        <v>642</v>
      </c>
      <c r="D2777" s="2" t="s">
        <v>657</v>
      </c>
      <c r="E2777" s="2" t="s">
        <v>169</v>
      </c>
    </row>
    <row r="2778" customFormat="false" ht="15" hidden="false" customHeight="false" outlineLevel="0" collapsed="false">
      <c r="A2778" s="2" t="s">
        <v>306</v>
      </c>
      <c r="B2778" s="2" t="s">
        <v>658</v>
      </c>
      <c r="C2778" s="2" t="s">
        <v>642</v>
      </c>
      <c r="D2778" s="2" t="s">
        <v>487</v>
      </c>
      <c r="E2778" s="2" t="s">
        <v>166</v>
      </c>
    </row>
    <row r="2779" customFormat="false" ht="15" hidden="false" customHeight="false" outlineLevel="0" collapsed="false">
      <c r="A2779" s="2" t="s">
        <v>306</v>
      </c>
      <c r="B2779" s="2" t="s">
        <v>324</v>
      </c>
      <c r="C2779" s="2" t="s">
        <v>642</v>
      </c>
      <c r="D2779" s="2" t="s">
        <v>610</v>
      </c>
      <c r="E2779" s="2" t="s">
        <v>166</v>
      </c>
    </row>
    <row r="2780" customFormat="false" ht="15" hidden="false" customHeight="false" outlineLevel="0" collapsed="false">
      <c r="A2780" s="2" t="s">
        <v>306</v>
      </c>
      <c r="B2780" s="2" t="s">
        <v>704</v>
      </c>
      <c r="C2780" s="2" t="s">
        <v>643</v>
      </c>
      <c r="D2780" s="2" t="s">
        <v>494</v>
      </c>
      <c r="E2780" s="2" t="s">
        <v>167</v>
      </c>
    </row>
    <row r="2781" customFormat="false" ht="15" hidden="false" customHeight="false" outlineLevel="0" collapsed="false">
      <c r="A2781" s="2" t="s">
        <v>306</v>
      </c>
      <c r="B2781" s="2" t="s">
        <v>660</v>
      </c>
      <c r="C2781" s="2" t="s">
        <v>640</v>
      </c>
      <c r="D2781" s="2" t="s">
        <v>355</v>
      </c>
      <c r="E2781" s="2" t="s">
        <v>166</v>
      </c>
    </row>
    <row r="2782" customFormat="false" ht="15" hidden="false" customHeight="false" outlineLevel="0" collapsed="false">
      <c r="A2782" s="2" t="s">
        <v>306</v>
      </c>
      <c r="B2782" s="2" t="s">
        <v>661</v>
      </c>
      <c r="C2782" s="2" t="s">
        <v>641</v>
      </c>
      <c r="D2782" s="2" t="s">
        <v>355</v>
      </c>
      <c r="E2782" s="2" t="s">
        <v>166</v>
      </c>
    </row>
    <row r="2783" customFormat="false" ht="15" hidden="false" customHeight="false" outlineLevel="0" collapsed="false">
      <c r="A2783" s="2" t="s">
        <v>306</v>
      </c>
      <c r="B2783" s="2" t="s">
        <v>707</v>
      </c>
      <c r="C2783" s="2" t="s">
        <v>637</v>
      </c>
      <c r="D2783" s="2" t="s">
        <v>505</v>
      </c>
      <c r="E2783" s="2" t="s">
        <v>166</v>
      </c>
    </row>
    <row r="2784" customFormat="false" ht="15" hidden="false" customHeight="false" outlineLevel="0" collapsed="false">
      <c r="A2784" s="2" t="s">
        <v>306</v>
      </c>
      <c r="B2784" s="2" t="s">
        <v>716</v>
      </c>
      <c r="C2784" s="2" t="s">
        <v>512</v>
      </c>
      <c r="D2784" s="2" t="s">
        <v>510</v>
      </c>
      <c r="E2784" s="2" t="s">
        <v>166</v>
      </c>
    </row>
    <row r="2785" customFormat="false" ht="15" hidden="false" customHeight="false" outlineLevel="0" collapsed="false">
      <c r="A2785" s="2" t="s">
        <v>306</v>
      </c>
      <c r="B2785" s="2" t="s">
        <v>662</v>
      </c>
      <c r="C2785" s="2" t="s">
        <v>630</v>
      </c>
      <c r="D2785" s="2" t="s">
        <v>585</v>
      </c>
      <c r="E2785" s="2" t="s">
        <v>167</v>
      </c>
    </row>
    <row r="2786" customFormat="false" ht="15" hidden="false" customHeight="false" outlineLevel="0" collapsed="false">
      <c r="A2786" s="2" t="s">
        <v>306</v>
      </c>
      <c r="B2786" s="2" t="s">
        <v>667</v>
      </c>
      <c r="C2786" s="2" t="s">
        <v>638</v>
      </c>
      <c r="D2786" s="2" t="s">
        <v>668</v>
      </c>
      <c r="E2786" s="2" t="s">
        <v>166</v>
      </c>
    </row>
    <row r="2787" customFormat="false" ht="15" hidden="false" customHeight="false" outlineLevel="0" collapsed="false">
      <c r="A2787" s="2" t="s">
        <v>306</v>
      </c>
      <c r="B2787" s="2" t="s">
        <v>669</v>
      </c>
      <c r="C2787" s="2" t="s">
        <v>636</v>
      </c>
      <c r="D2787" s="2" t="s">
        <v>670</v>
      </c>
      <c r="E2787" s="2" t="s">
        <v>166</v>
      </c>
    </row>
    <row r="2788" customFormat="false" ht="15" hidden="false" customHeight="false" outlineLevel="0" collapsed="false">
      <c r="A2788" s="2" t="s">
        <v>306</v>
      </c>
      <c r="B2788" s="2" t="s">
        <v>700</v>
      </c>
      <c r="C2788" s="2" t="s">
        <v>558</v>
      </c>
      <c r="D2788" s="2" t="s">
        <v>701</v>
      </c>
      <c r="E2788" s="2" t="s">
        <v>166</v>
      </c>
    </row>
    <row r="2789" customFormat="false" ht="15" hidden="false" customHeight="false" outlineLevel="0" collapsed="false">
      <c r="A2789" s="2" t="s">
        <v>306</v>
      </c>
      <c r="B2789" s="2" t="s">
        <v>671</v>
      </c>
      <c r="C2789" s="2" t="s">
        <v>632</v>
      </c>
      <c r="D2789" s="2" t="s">
        <v>672</v>
      </c>
      <c r="E2789" s="2" t="s">
        <v>166</v>
      </c>
    </row>
    <row r="2790" customFormat="false" ht="15" hidden="false" customHeight="false" outlineLevel="0" collapsed="false">
      <c r="A2790" s="2" t="s">
        <v>306</v>
      </c>
      <c r="B2790" s="2" t="s">
        <v>692</v>
      </c>
      <c r="C2790" s="2" t="s">
        <v>632</v>
      </c>
      <c r="D2790" s="2" t="s">
        <v>523</v>
      </c>
      <c r="E2790" s="2" t="s">
        <v>168</v>
      </c>
    </row>
    <row r="2791" customFormat="false" ht="15" hidden="false" customHeight="false" outlineLevel="0" collapsed="false">
      <c r="A2791" s="2" t="s">
        <v>306</v>
      </c>
      <c r="B2791" s="2" t="s">
        <v>675</v>
      </c>
      <c r="C2791" s="2" t="s">
        <v>632</v>
      </c>
      <c r="D2791" s="2" t="s">
        <v>523</v>
      </c>
      <c r="E2791" s="2" t="s">
        <v>168</v>
      </c>
    </row>
    <row r="2792" customFormat="false" ht="15" hidden="false" customHeight="false" outlineLevel="0" collapsed="false">
      <c r="A2792" s="2" t="s">
        <v>306</v>
      </c>
      <c r="B2792" s="2" t="s">
        <v>412</v>
      </c>
      <c r="C2792" s="2" t="s">
        <v>632</v>
      </c>
      <c r="D2792" s="2" t="s">
        <v>523</v>
      </c>
      <c r="E2792" s="2" t="s">
        <v>168</v>
      </c>
    </row>
    <row r="2793" customFormat="false" ht="15" hidden="false" customHeight="false" outlineLevel="0" collapsed="false">
      <c r="A2793" s="2" t="s">
        <v>306</v>
      </c>
      <c r="B2793" s="2" t="s">
        <v>693</v>
      </c>
      <c r="C2793" s="2" t="s">
        <v>632</v>
      </c>
      <c r="D2793" s="2" t="s">
        <v>523</v>
      </c>
      <c r="E2793" s="2" t="s">
        <v>170</v>
      </c>
    </row>
    <row r="2794" customFormat="false" ht="15" hidden="false" customHeight="false" outlineLevel="0" collapsed="false">
      <c r="A2794" s="2" t="s">
        <v>306</v>
      </c>
      <c r="B2794" s="2" t="s">
        <v>694</v>
      </c>
      <c r="C2794" s="2" t="s">
        <v>633</v>
      </c>
      <c r="D2794" s="2" t="s">
        <v>677</v>
      </c>
      <c r="E2794" s="2" t="s">
        <v>166</v>
      </c>
    </row>
    <row r="2795" customFormat="false" ht="15" hidden="false" customHeight="false" outlineLevel="0" collapsed="false">
      <c r="A2795" s="2" t="s">
        <v>306</v>
      </c>
      <c r="B2795" s="2" t="s">
        <v>678</v>
      </c>
      <c r="C2795" s="2" t="s">
        <v>634</v>
      </c>
      <c r="D2795" s="2" t="s">
        <v>695</v>
      </c>
      <c r="E2795" s="2" t="s">
        <v>169</v>
      </c>
    </row>
    <row r="2796" customFormat="false" ht="15" hidden="false" customHeight="false" outlineLevel="0" collapsed="false">
      <c r="A2796" s="2" t="s">
        <v>306</v>
      </c>
      <c r="B2796" s="2" t="s">
        <v>680</v>
      </c>
      <c r="C2796" s="2" t="s">
        <v>629</v>
      </c>
      <c r="D2796" s="2" t="s">
        <v>681</v>
      </c>
      <c r="E2796" s="2" t="s">
        <v>169</v>
      </c>
    </row>
    <row r="2797" customFormat="false" ht="15" hidden="false" customHeight="false" outlineLevel="0" collapsed="false">
      <c r="A2797" s="2" t="s">
        <v>306</v>
      </c>
      <c r="B2797" s="2" t="s">
        <v>370</v>
      </c>
      <c r="C2797" s="2" t="s">
        <v>627</v>
      </c>
      <c r="D2797" s="2" t="s">
        <v>682</v>
      </c>
      <c r="E2797" s="2" t="s">
        <v>166</v>
      </c>
    </row>
    <row r="2798" customFormat="false" ht="15" hidden="false" customHeight="false" outlineLevel="0" collapsed="false">
      <c r="A2798" s="2" t="s">
        <v>306</v>
      </c>
      <c r="B2798" s="2" t="s">
        <v>684</v>
      </c>
      <c r="C2798" s="2" t="s">
        <v>627</v>
      </c>
      <c r="D2798" s="2" t="s">
        <v>402</v>
      </c>
      <c r="E2798" s="2" t="s">
        <v>168</v>
      </c>
    </row>
    <row r="2799" customFormat="false" ht="15" hidden="false" customHeight="false" outlineLevel="0" collapsed="false">
      <c r="A2799" s="2" t="s">
        <v>306</v>
      </c>
      <c r="B2799" s="2" t="s">
        <v>410</v>
      </c>
      <c r="C2799" s="2" t="s">
        <v>627</v>
      </c>
      <c r="D2799" s="2" t="s">
        <v>402</v>
      </c>
      <c r="E2799" s="2" t="s">
        <v>168</v>
      </c>
    </row>
    <row r="2800" customFormat="false" ht="15" hidden="false" customHeight="false" outlineLevel="0" collapsed="false">
      <c r="A2800" s="2" t="s">
        <v>306</v>
      </c>
      <c r="B2800" s="2" t="s">
        <v>685</v>
      </c>
      <c r="C2800" s="2" t="s">
        <v>627</v>
      </c>
      <c r="D2800" s="2" t="s">
        <v>402</v>
      </c>
      <c r="E2800" s="2" t="s">
        <v>170</v>
      </c>
    </row>
    <row r="2801" customFormat="false" ht="15" hidden="false" customHeight="false" outlineLevel="0" collapsed="false">
      <c r="A2801" s="2" t="s">
        <v>306</v>
      </c>
      <c r="B2801" s="2" t="s">
        <v>686</v>
      </c>
      <c r="C2801" s="2" t="s">
        <v>628</v>
      </c>
      <c r="D2801" s="2" t="s">
        <v>687</v>
      </c>
      <c r="E2801" s="2" t="s">
        <v>166</v>
      </c>
    </row>
    <row r="2802" customFormat="false" ht="15" hidden="false" customHeight="false" outlineLevel="0" collapsed="false">
      <c r="A2802" s="2" t="s">
        <v>306</v>
      </c>
      <c r="B2802" s="2" t="s">
        <v>688</v>
      </c>
      <c r="C2802" s="2" t="s">
        <v>645</v>
      </c>
      <c r="D2802" s="2" t="s">
        <v>373</v>
      </c>
      <c r="E2802" s="2" t="s">
        <v>170</v>
      </c>
    </row>
    <row r="2803" customFormat="false" ht="15" hidden="false" customHeight="false" outlineLevel="0" collapsed="false">
      <c r="A2803" s="2" t="s">
        <v>306</v>
      </c>
      <c r="B2803" s="2" t="s">
        <v>689</v>
      </c>
      <c r="C2803" s="2" t="s">
        <v>645</v>
      </c>
      <c r="D2803" s="2" t="s">
        <v>690</v>
      </c>
      <c r="E2803" s="2" t="s">
        <v>167</v>
      </c>
    </row>
    <row r="2804" customFormat="false" ht="15" hidden="false" customHeight="false" outlineLevel="0" collapsed="false">
      <c r="A2804" s="2" t="s">
        <v>306</v>
      </c>
      <c r="B2804" s="2" t="s">
        <v>691</v>
      </c>
      <c r="C2804" s="2" t="s">
        <v>645</v>
      </c>
      <c r="D2804" s="2" t="s">
        <v>690</v>
      </c>
      <c r="E2804" s="2" t="s">
        <v>167</v>
      </c>
    </row>
    <row r="2805" customFormat="false" ht="15" hidden="false" customHeight="false" outlineLevel="0" collapsed="false">
      <c r="A2805" s="2" t="s">
        <v>307</v>
      </c>
      <c r="B2805" s="2" t="s">
        <v>649</v>
      </c>
      <c r="C2805" s="2" t="s">
        <v>635</v>
      </c>
      <c r="D2805" s="2" t="s">
        <v>487</v>
      </c>
      <c r="E2805" s="2" t="s">
        <v>166</v>
      </c>
    </row>
    <row r="2806" customFormat="false" ht="15" hidden="false" customHeight="false" outlineLevel="0" collapsed="false">
      <c r="A2806" s="2" t="s">
        <v>307</v>
      </c>
      <c r="B2806" s="2" t="s">
        <v>650</v>
      </c>
      <c r="C2806" s="2" t="s">
        <v>635</v>
      </c>
      <c r="D2806" s="2" t="s">
        <v>651</v>
      </c>
      <c r="E2806" s="2" t="s">
        <v>169</v>
      </c>
    </row>
    <row r="2807" customFormat="false" ht="15" hidden="false" customHeight="false" outlineLevel="0" collapsed="false">
      <c r="A2807" s="2" t="s">
        <v>307</v>
      </c>
      <c r="B2807" s="2" t="s">
        <v>652</v>
      </c>
      <c r="C2807" s="2" t="s">
        <v>635</v>
      </c>
      <c r="D2807" s="2" t="s">
        <v>653</v>
      </c>
      <c r="E2807" s="2" t="s">
        <v>169</v>
      </c>
    </row>
    <row r="2808" customFormat="false" ht="15" hidden="false" customHeight="false" outlineLevel="0" collapsed="false">
      <c r="A2808" s="2" t="s">
        <v>307</v>
      </c>
      <c r="B2808" s="2" t="s">
        <v>654</v>
      </c>
      <c r="C2808" s="2" t="s">
        <v>635</v>
      </c>
      <c r="D2808" s="2" t="s">
        <v>655</v>
      </c>
      <c r="E2808" s="2" t="s">
        <v>169</v>
      </c>
    </row>
    <row r="2809" customFormat="false" ht="15" hidden="false" customHeight="false" outlineLevel="0" collapsed="false">
      <c r="A2809" s="2" t="s">
        <v>307</v>
      </c>
      <c r="B2809" s="2" t="s">
        <v>656</v>
      </c>
      <c r="C2809" s="2" t="s">
        <v>642</v>
      </c>
      <c r="D2809" s="2" t="s">
        <v>487</v>
      </c>
      <c r="E2809" s="2" t="s">
        <v>166</v>
      </c>
    </row>
    <row r="2810" customFormat="false" ht="15" hidden="false" customHeight="false" outlineLevel="0" collapsed="false">
      <c r="A2810" s="2" t="s">
        <v>307</v>
      </c>
      <c r="B2810" s="2" t="s">
        <v>320</v>
      </c>
      <c r="C2810" s="2" t="s">
        <v>642</v>
      </c>
      <c r="D2810" s="2" t="s">
        <v>657</v>
      </c>
      <c r="E2810" s="2" t="s">
        <v>169</v>
      </c>
    </row>
    <row r="2811" customFormat="false" ht="15" hidden="false" customHeight="false" outlineLevel="0" collapsed="false">
      <c r="A2811" s="2" t="s">
        <v>307</v>
      </c>
      <c r="B2811" s="2" t="s">
        <v>658</v>
      </c>
      <c r="C2811" s="2" t="s">
        <v>642</v>
      </c>
      <c r="D2811" s="2" t="s">
        <v>487</v>
      </c>
      <c r="E2811" s="2" t="s">
        <v>166</v>
      </c>
    </row>
    <row r="2812" customFormat="false" ht="15" hidden="false" customHeight="false" outlineLevel="0" collapsed="false">
      <c r="A2812" s="2" t="s">
        <v>307</v>
      </c>
      <c r="B2812" s="2" t="s">
        <v>324</v>
      </c>
      <c r="C2812" s="2" t="s">
        <v>642</v>
      </c>
      <c r="D2812" s="2" t="s">
        <v>610</v>
      </c>
      <c r="E2812" s="2" t="s">
        <v>166</v>
      </c>
    </row>
    <row r="2813" customFormat="false" ht="15" hidden="false" customHeight="false" outlineLevel="0" collapsed="false">
      <c r="A2813" s="2" t="s">
        <v>307</v>
      </c>
      <c r="B2813" s="2" t="s">
        <v>660</v>
      </c>
      <c r="C2813" s="2" t="s">
        <v>640</v>
      </c>
      <c r="D2813" s="2" t="s">
        <v>355</v>
      </c>
      <c r="E2813" s="2" t="s">
        <v>166</v>
      </c>
    </row>
    <row r="2814" customFormat="false" ht="15" hidden="false" customHeight="false" outlineLevel="0" collapsed="false">
      <c r="A2814" s="2" t="s">
        <v>307</v>
      </c>
      <c r="B2814" s="2" t="s">
        <v>661</v>
      </c>
      <c r="C2814" s="2" t="s">
        <v>641</v>
      </c>
      <c r="D2814" s="2" t="s">
        <v>355</v>
      </c>
      <c r="E2814" s="2" t="s">
        <v>166</v>
      </c>
    </row>
    <row r="2815" customFormat="false" ht="15" hidden="false" customHeight="false" outlineLevel="0" collapsed="false">
      <c r="A2815" s="2" t="s">
        <v>307</v>
      </c>
      <c r="B2815" s="2" t="s">
        <v>662</v>
      </c>
      <c r="C2815" s="2" t="s">
        <v>630</v>
      </c>
      <c r="D2815" s="2" t="s">
        <v>585</v>
      </c>
      <c r="E2815" s="2" t="s">
        <v>167</v>
      </c>
    </row>
    <row r="2816" customFormat="false" ht="15" hidden="false" customHeight="false" outlineLevel="0" collapsed="false">
      <c r="A2816" s="2" t="s">
        <v>307</v>
      </c>
      <c r="B2816" s="2" t="s">
        <v>667</v>
      </c>
      <c r="C2816" s="2" t="s">
        <v>638</v>
      </c>
      <c r="D2816" s="2" t="s">
        <v>668</v>
      </c>
      <c r="E2816" s="2" t="s">
        <v>166</v>
      </c>
    </row>
    <row r="2817" customFormat="false" ht="15" hidden="false" customHeight="false" outlineLevel="0" collapsed="false">
      <c r="A2817" s="2" t="s">
        <v>307</v>
      </c>
      <c r="B2817" s="2" t="s">
        <v>669</v>
      </c>
      <c r="C2817" s="2" t="s">
        <v>636</v>
      </c>
      <c r="D2817" s="2" t="s">
        <v>670</v>
      </c>
      <c r="E2817" s="2" t="s">
        <v>166</v>
      </c>
    </row>
    <row r="2818" customFormat="false" ht="15" hidden="false" customHeight="false" outlineLevel="0" collapsed="false">
      <c r="A2818" s="2" t="s">
        <v>307</v>
      </c>
      <c r="B2818" s="2" t="s">
        <v>671</v>
      </c>
      <c r="C2818" s="2" t="s">
        <v>632</v>
      </c>
      <c r="D2818" s="2" t="s">
        <v>672</v>
      </c>
      <c r="E2818" s="2" t="s">
        <v>166</v>
      </c>
    </row>
    <row r="2819" customFormat="false" ht="15" hidden="false" customHeight="false" outlineLevel="0" collapsed="false">
      <c r="A2819" s="2" t="s">
        <v>307</v>
      </c>
      <c r="B2819" s="2" t="s">
        <v>673</v>
      </c>
      <c r="C2819" s="2" t="s">
        <v>632</v>
      </c>
      <c r="D2819" s="2" t="s">
        <v>523</v>
      </c>
      <c r="E2819" s="2" t="s">
        <v>168</v>
      </c>
    </row>
    <row r="2820" customFormat="false" ht="15" hidden="false" customHeight="false" outlineLevel="0" collapsed="false">
      <c r="A2820" s="2" t="s">
        <v>307</v>
      </c>
      <c r="B2820" s="2" t="s">
        <v>674</v>
      </c>
      <c r="C2820" s="2" t="s">
        <v>632</v>
      </c>
      <c r="D2820" s="2" t="s">
        <v>523</v>
      </c>
      <c r="E2820" s="2" t="s">
        <v>168</v>
      </c>
    </row>
    <row r="2821" customFormat="false" ht="15" hidden="false" customHeight="false" outlineLevel="0" collapsed="false">
      <c r="A2821" s="2" t="s">
        <v>307</v>
      </c>
      <c r="B2821" s="2" t="s">
        <v>692</v>
      </c>
      <c r="C2821" s="2" t="s">
        <v>632</v>
      </c>
      <c r="D2821" s="2" t="s">
        <v>523</v>
      </c>
      <c r="E2821" s="2" t="s">
        <v>168</v>
      </c>
    </row>
    <row r="2822" customFormat="false" ht="15" hidden="false" customHeight="false" outlineLevel="0" collapsed="false">
      <c r="A2822" s="2" t="s">
        <v>307</v>
      </c>
      <c r="B2822" s="2" t="s">
        <v>675</v>
      </c>
      <c r="C2822" s="2" t="s">
        <v>632</v>
      </c>
      <c r="D2822" s="2" t="s">
        <v>523</v>
      </c>
      <c r="E2822" s="2" t="s">
        <v>168</v>
      </c>
    </row>
    <row r="2823" customFormat="false" ht="15" hidden="false" customHeight="false" outlineLevel="0" collapsed="false">
      <c r="A2823" s="2" t="s">
        <v>307</v>
      </c>
      <c r="B2823" s="2" t="s">
        <v>702</v>
      </c>
      <c r="C2823" s="2" t="s">
        <v>632</v>
      </c>
      <c r="D2823" s="2" t="s">
        <v>523</v>
      </c>
      <c r="E2823" s="2" t="s">
        <v>168</v>
      </c>
    </row>
    <row r="2824" customFormat="false" ht="15" hidden="false" customHeight="false" outlineLevel="0" collapsed="false">
      <c r="A2824" s="2" t="s">
        <v>307</v>
      </c>
      <c r="B2824" s="2" t="s">
        <v>412</v>
      </c>
      <c r="C2824" s="2" t="s">
        <v>632</v>
      </c>
      <c r="D2824" s="2" t="s">
        <v>523</v>
      </c>
      <c r="E2824" s="2" t="s">
        <v>168</v>
      </c>
    </row>
    <row r="2825" customFormat="false" ht="15" hidden="false" customHeight="false" outlineLevel="0" collapsed="false">
      <c r="A2825" s="2" t="s">
        <v>307</v>
      </c>
      <c r="B2825" s="2" t="s">
        <v>676</v>
      </c>
      <c r="C2825" s="2" t="s">
        <v>633</v>
      </c>
      <c r="D2825" s="2" t="s">
        <v>677</v>
      </c>
      <c r="E2825" s="2" t="s">
        <v>166</v>
      </c>
    </row>
    <row r="2826" customFormat="false" ht="15" hidden="false" customHeight="false" outlineLevel="0" collapsed="false">
      <c r="A2826" s="2" t="s">
        <v>307</v>
      </c>
      <c r="B2826" s="2" t="s">
        <v>678</v>
      </c>
      <c r="C2826" s="2" t="s">
        <v>634</v>
      </c>
      <c r="D2826" s="2" t="s">
        <v>695</v>
      </c>
      <c r="E2826" s="2" t="s">
        <v>169</v>
      </c>
    </row>
    <row r="2827" customFormat="false" ht="15" hidden="false" customHeight="false" outlineLevel="0" collapsed="false">
      <c r="A2827" s="2" t="s">
        <v>307</v>
      </c>
      <c r="B2827" s="2" t="s">
        <v>680</v>
      </c>
      <c r="C2827" s="2" t="s">
        <v>629</v>
      </c>
      <c r="D2827" s="2" t="s">
        <v>681</v>
      </c>
      <c r="E2827" s="2" t="s">
        <v>169</v>
      </c>
    </row>
    <row r="2828" customFormat="false" ht="15" hidden="false" customHeight="false" outlineLevel="0" collapsed="false">
      <c r="A2828" s="2" t="s">
        <v>307</v>
      </c>
      <c r="B2828" s="2" t="s">
        <v>370</v>
      </c>
      <c r="C2828" s="2" t="s">
        <v>627</v>
      </c>
      <c r="D2828" s="2" t="s">
        <v>682</v>
      </c>
      <c r="E2828" s="2" t="s">
        <v>166</v>
      </c>
    </row>
    <row r="2829" customFormat="false" ht="15" hidden="false" customHeight="false" outlineLevel="0" collapsed="false">
      <c r="A2829" s="2" t="s">
        <v>307</v>
      </c>
      <c r="B2829" s="2" t="s">
        <v>684</v>
      </c>
      <c r="C2829" s="2" t="s">
        <v>627</v>
      </c>
      <c r="D2829" s="2" t="s">
        <v>402</v>
      </c>
      <c r="E2829" s="2" t="s">
        <v>168</v>
      </c>
    </row>
    <row r="2830" customFormat="false" ht="15" hidden="false" customHeight="false" outlineLevel="0" collapsed="false">
      <c r="A2830" s="2" t="s">
        <v>307</v>
      </c>
      <c r="B2830" s="2" t="s">
        <v>410</v>
      </c>
      <c r="C2830" s="2" t="s">
        <v>627</v>
      </c>
      <c r="D2830" s="2" t="s">
        <v>402</v>
      </c>
      <c r="E2830" s="2" t="s">
        <v>168</v>
      </c>
    </row>
    <row r="2831" customFormat="false" ht="15" hidden="false" customHeight="false" outlineLevel="0" collapsed="false">
      <c r="A2831" s="2" t="s">
        <v>307</v>
      </c>
      <c r="B2831" s="2" t="s">
        <v>685</v>
      </c>
      <c r="C2831" s="2" t="s">
        <v>627</v>
      </c>
      <c r="D2831" s="2" t="s">
        <v>402</v>
      </c>
      <c r="E2831" s="2" t="s">
        <v>170</v>
      </c>
    </row>
    <row r="2832" customFormat="false" ht="15" hidden="false" customHeight="false" outlineLevel="0" collapsed="false">
      <c r="A2832" s="2" t="s">
        <v>307</v>
      </c>
      <c r="B2832" s="2" t="s">
        <v>686</v>
      </c>
      <c r="C2832" s="2" t="s">
        <v>628</v>
      </c>
      <c r="D2832" s="2" t="s">
        <v>687</v>
      </c>
      <c r="E2832" s="2" t="s">
        <v>166</v>
      </c>
    </row>
    <row r="2833" customFormat="false" ht="15" hidden="false" customHeight="false" outlineLevel="0" collapsed="false">
      <c r="A2833" s="2" t="s">
        <v>307</v>
      </c>
      <c r="B2833" s="2" t="s">
        <v>688</v>
      </c>
      <c r="C2833" s="2" t="s">
        <v>645</v>
      </c>
      <c r="D2833" s="2" t="s">
        <v>373</v>
      </c>
      <c r="E2833" s="2" t="s">
        <v>170</v>
      </c>
    </row>
    <row r="2834" customFormat="false" ht="15" hidden="false" customHeight="false" outlineLevel="0" collapsed="false">
      <c r="A2834" s="2" t="s">
        <v>308</v>
      </c>
      <c r="B2834" s="2" t="s">
        <v>649</v>
      </c>
      <c r="C2834" s="2" t="s">
        <v>635</v>
      </c>
      <c r="D2834" s="2" t="s">
        <v>487</v>
      </c>
      <c r="E2834" s="2" t="s">
        <v>166</v>
      </c>
    </row>
    <row r="2835" customFormat="false" ht="15" hidden="false" customHeight="false" outlineLevel="0" collapsed="false">
      <c r="A2835" s="2" t="s">
        <v>308</v>
      </c>
      <c r="B2835" s="2" t="s">
        <v>650</v>
      </c>
      <c r="C2835" s="2" t="s">
        <v>635</v>
      </c>
      <c r="D2835" s="2" t="s">
        <v>651</v>
      </c>
      <c r="E2835" s="2" t="s">
        <v>169</v>
      </c>
    </row>
    <row r="2836" customFormat="false" ht="15" hidden="false" customHeight="false" outlineLevel="0" collapsed="false">
      <c r="A2836" s="2" t="s">
        <v>308</v>
      </c>
      <c r="B2836" s="2" t="s">
        <v>652</v>
      </c>
      <c r="C2836" s="2" t="s">
        <v>635</v>
      </c>
      <c r="D2836" s="2" t="s">
        <v>653</v>
      </c>
      <c r="E2836" s="2" t="s">
        <v>169</v>
      </c>
    </row>
    <row r="2837" customFormat="false" ht="15" hidden="false" customHeight="false" outlineLevel="0" collapsed="false">
      <c r="A2837" s="2" t="s">
        <v>308</v>
      </c>
      <c r="B2837" s="2" t="s">
        <v>654</v>
      </c>
      <c r="C2837" s="2" t="s">
        <v>635</v>
      </c>
      <c r="D2837" s="2" t="s">
        <v>655</v>
      </c>
      <c r="E2837" s="2" t="s">
        <v>169</v>
      </c>
    </row>
    <row r="2838" customFormat="false" ht="15" hidden="false" customHeight="false" outlineLevel="0" collapsed="false">
      <c r="A2838" s="2" t="s">
        <v>308</v>
      </c>
      <c r="B2838" s="2" t="s">
        <v>656</v>
      </c>
      <c r="C2838" s="2" t="s">
        <v>642</v>
      </c>
      <c r="D2838" s="2" t="s">
        <v>487</v>
      </c>
      <c r="E2838" s="2" t="s">
        <v>166</v>
      </c>
    </row>
    <row r="2839" customFormat="false" ht="15" hidden="false" customHeight="false" outlineLevel="0" collapsed="false">
      <c r="A2839" s="2" t="s">
        <v>308</v>
      </c>
      <c r="B2839" s="2" t="s">
        <v>320</v>
      </c>
      <c r="C2839" s="2" t="s">
        <v>642</v>
      </c>
      <c r="D2839" s="2" t="s">
        <v>657</v>
      </c>
      <c r="E2839" s="2" t="s">
        <v>169</v>
      </c>
    </row>
    <row r="2840" customFormat="false" ht="15" hidden="false" customHeight="false" outlineLevel="0" collapsed="false">
      <c r="A2840" s="2" t="s">
        <v>308</v>
      </c>
      <c r="B2840" s="2" t="s">
        <v>658</v>
      </c>
      <c r="C2840" s="2" t="s">
        <v>642</v>
      </c>
      <c r="D2840" s="2" t="s">
        <v>487</v>
      </c>
      <c r="E2840" s="2" t="s">
        <v>166</v>
      </c>
    </row>
    <row r="2841" customFormat="false" ht="15" hidden="false" customHeight="false" outlineLevel="0" collapsed="false">
      <c r="A2841" s="2" t="s">
        <v>308</v>
      </c>
      <c r="B2841" s="2" t="s">
        <v>324</v>
      </c>
      <c r="C2841" s="2" t="s">
        <v>642</v>
      </c>
      <c r="D2841" s="2" t="s">
        <v>659</v>
      </c>
      <c r="E2841" s="2" t="s">
        <v>169</v>
      </c>
    </row>
    <row r="2842" customFormat="false" ht="15" hidden="false" customHeight="false" outlineLevel="0" collapsed="false">
      <c r="A2842" s="2" t="s">
        <v>308</v>
      </c>
      <c r="B2842" s="2" t="s">
        <v>660</v>
      </c>
      <c r="C2842" s="2" t="s">
        <v>640</v>
      </c>
      <c r="D2842" s="2" t="s">
        <v>355</v>
      </c>
      <c r="E2842" s="2" t="s">
        <v>166</v>
      </c>
    </row>
    <row r="2843" customFormat="false" ht="15" hidden="false" customHeight="false" outlineLevel="0" collapsed="false">
      <c r="A2843" s="2" t="s">
        <v>308</v>
      </c>
      <c r="B2843" s="2" t="s">
        <v>661</v>
      </c>
      <c r="C2843" s="2" t="s">
        <v>641</v>
      </c>
      <c r="D2843" s="2" t="s">
        <v>355</v>
      </c>
      <c r="E2843" s="2" t="s">
        <v>166</v>
      </c>
    </row>
    <row r="2844" customFormat="false" ht="15" hidden="false" customHeight="false" outlineLevel="0" collapsed="false">
      <c r="A2844" s="2" t="s">
        <v>308</v>
      </c>
      <c r="B2844" s="2" t="s">
        <v>662</v>
      </c>
      <c r="C2844" s="2" t="s">
        <v>630</v>
      </c>
      <c r="D2844" s="2" t="s">
        <v>585</v>
      </c>
      <c r="E2844" s="2" t="s">
        <v>167</v>
      </c>
    </row>
    <row r="2845" customFormat="false" ht="15" hidden="false" customHeight="false" outlineLevel="0" collapsed="false">
      <c r="A2845" s="2" t="s">
        <v>308</v>
      </c>
      <c r="B2845" s="2" t="s">
        <v>667</v>
      </c>
      <c r="C2845" s="2" t="s">
        <v>638</v>
      </c>
      <c r="D2845" s="2" t="s">
        <v>668</v>
      </c>
      <c r="E2845" s="2" t="s">
        <v>166</v>
      </c>
    </row>
    <row r="2846" customFormat="false" ht="15" hidden="false" customHeight="false" outlineLevel="0" collapsed="false">
      <c r="A2846" s="2" t="s">
        <v>308</v>
      </c>
      <c r="B2846" s="2" t="s">
        <v>669</v>
      </c>
      <c r="C2846" s="2" t="s">
        <v>636</v>
      </c>
      <c r="D2846" s="2" t="s">
        <v>670</v>
      </c>
      <c r="E2846" s="2" t="s">
        <v>166</v>
      </c>
    </row>
    <row r="2847" customFormat="false" ht="15" hidden="false" customHeight="false" outlineLevel="0" collapsed="false">
      <c r="A2847" s="2" t="s">
        <v>308</v>
      </c>
      <c r="B2847" s="2" t="s">
        <v>671</v>
      </c>
      <c r="C2847" s="2" t="s">
        <v>632</v>
      </c>
      <c r="D2847" s="2" t="s">
        <v>672</v>
      </c>
      <c r="E2847" s="2" t="s">
        <v>166</v>
      </c>
    </row>
    <row r="2848" customFormat="false" ht="15" hidden="false" customHeight="false" outlineLevel="0" collapsed="false">
      <c r="A2848" s="2" t="s">
        <v>308</v>
      </c>
      <c r="B2848" s="2" t="s">
        <v>675</v>
      </c>
      <c r="C2848" s="2" t="s">
        <v>632</v>
      </c>
      <c r="D2848" s="2" t="s">
        <v>523</v>
      </c>
      <c r="E2848" s="2" t="s">
        <v>168</v>
      </c>
    </row>
    <row r="2849" customFormat="false" ht="15" hidden="false" customHeight="false" outlineLevel="0" collapsed="false">
      <c r="A2849" s="2" t="s">
        <v>308</v>
      </c>
      <c r="B2849" s="2" t="s">
        <v>412</v>
      </c>
      <c r="C2849" s="2" t="s">
        <v>632</v>
      </c>
      <c r="D2849" s="2" t="s">
        <v>721</v>
      </c>
      <c r="E2849" s="2" t="s">
        <v>169</v>
      </c>
    </row>
    <row r="2850" customFormat="false" ht="15" hidden="false" customHeight="false" outlineLevel="0" collapsed="false">
      <c r="A2850" s="2" t="s">
        <v>308</v>
      </c>
      <c r="B2850" s="2" t="s">
        <v>693</v>
      </c>
      <c r="C2850" s="2" t="s">
        <v>632</v>
      </c>
      <c r="D2850" s="2" t="s">
        <v>523</v>
      </c>
      <c r="E2850" s="2" t="s">
        <v>170</v>
      </c>
    </row>
    <row r="2851" customFormat="false" ht="15" hidden="false" customHeight="false" outlineLevel="0" collapsed="false">
      <c r="A2851" s="2" t="s">
        <v>308</v>
      </c>
      <c r="B2851" s="2" t="s">
        <v>694</v>
      </c>
      <c r="C2851" s="2" t="s">
        <v>633</v>
      </c>
      <c r="D2851" s="2" t="s">
        <v>677</v>
      </c>
      <c r="E2851" s="2" t="s">
        <v>166</v>
      </c>
    </row>
    <row r="2852" customFormat="false" ht="15" hidden="false" customHeight="false" outlineLevel="0" collapsed="false">
      <c r="A2852" s="2" t="s">
        <v>308</v>
      </c>
      <c r="B2852" s="2" t="s">
        <v>678</v>
      </c>
      <c r="C2852" s="2" t="s">
        <v>634</v>
      </c>
      <c r="D2852" s="2" t="s">
        <v>679</v>
      </c>
      <c r="E2852" s="2" t="s">
        <v>166</v>
      </c>
    </row>
    <row r="2853" customFormat="false" ht="15" hidden="false" customHeight="false" outlineLevel="0" collapsed="false">
      <c r="A2853" s="2" t="s">
        <v>308</v>
      </c>
      <c r="B2853" s="2" t="s">
        <v>680</v>
      </c>
      <c r="C2853" s="2" t="s">
        <v>629</v>
      </c>
      <c r="D2853" s="2" t="s">
        <v>681</v>
      </c>
      <c r="E2853" s="2" t="s">
        <v>169</v>
      </c>
    </row>
    <row r="2854" customFormat="false" ht="15" hidden="false" customHeight="false" outlineLevel="0" collapsed="false">
      <c r="A2854" s="2" t="s">
        <v>308</v>
      </c>
      <c r="B2854" s="2" t="s">
        <v>370</v>
      </c>
      <c r="C2854" s="2" t="s">
        <v>627</v>
      </c>
      <c r="D2854" s="2" t="s">
        <v>682</v>
      </c>
      <c r="E2854" s="2" t="s">
        <v>166</v>
      </c>
    </row>
    <row r="2855" customFormat="false" ht="15" hidden="false" customHeight="false" outlineLevel="0" collapsed="false">
      <c r="A2855" s="2" t="s">
        <v>308</v>
      </c>
      <c r="B2855" s="2" t="s">
        <v>696</v>
      </c>
      <c r="C2855" s="2" t="s">
        <v>627</v>
      </c>
      <c r="D2855" s="2" t="s">
        <v>402</v>
      </c>
      <c r="E2855" s="2" t="s">
        <v>168</v>
      </c>
    </row>
    <row r="2856" customFormat="false" ht="15" hidden="false" customHeight="false" outlineLevel="0" collapsed="false">
      <c r="A2856" s="2" t="s">
        <v>308</v>
      </c>
      <c r="B2856" s="2" t="s">
        <v>697</v>
      </c>
      <c r="C2856" s="2" t="s">
        <v>627</v>
      </c>
      <c r="D2856" s="2" t="s">
        <v>402</v>
      </c>
      <c r="E2856" s="2" t="s">
        <v>168</v>
      </c>
    </row>
    <row r="2857" customFormat="false" ht="15" hidden="false" customHeight="false" outlineLevel="0" collapsed="false">
      <c r="A2857" s="2" t="s">
        <v>308</v>
      </c>
      <c r="B2857" s="2" t="s">
        <v>683</v>
      </c>
      <c r="C2857" s="2" t="s">
        <v>627</v>
      </c>
      <c r="D2857" s="2" t="s">
        <v>402</v>
      </c>
      <c r="E2857" s="2" t="s">
        <v>168</v>
      </c>
    </row>
    <row r="2858" customFormat="false" ht="15" hidden="false" customHeight="false" outlineLevel="0" collapsed="false">
      <c r="A2858" s="2" t="s">
        <v>308</v>
      </c>
      <c r="B2858" s="2" t="s">
        <v>684</v>
      </c>
      <c r="C2858" s="2" t="s">
        <v>627</v>
      </c>
      <c r="D2858" s="2" t="s">
        <v>402</v>
      </c>
      <c r="E2858" s="2" t="s">
        <v>168</v>
      </c>
    </row>
    <row r="2859" customFormat="false" ht="15" hidden="false" customHeight="false" outlineLevel="0" collapsed="false">
      <c r="A2859" s="2" t="s">
        <v>308</v>
      </c>
      <c r="B2859" s="2" t="s">
        <v>410</v>
      </c>
      <c r="C2859" s="2" t="s">
        <v>627</v>
      </c>
      <c r="D2859" s="2" t="s">
        <v>402</v>
      </c>
      <c r="E2859" s="2" t="s">
        <v>168</v>
      </c>
    </row>
    <row r="2860" customFormat="false" ht="15" hidden="false" customHeight="false" outlineLevel="0" collapsed="false">
      <c r="A2860" s="2" t="s">
        <v>308</v>
      </c>
      <c r="B2860" s="2" t="s">
        <v>708</v>
      </c>
      <c r="C2860" s="2" t="s">
        <v>628</v>
      </c>
      <c r="D2860" s="2" t="s">
        <v>687</v>
      </c>
      <c r="E2860" s="2" t="s">
        <v>166</v>
      </c>
    </row>
    <row r="2861" customFormat="false" ht="15" hidden="false" customHeight="false" outlineLevel="0" collapsed="false">
      <c r="A2861" s="2" t="s">
        <v>308</v>
      </c>
      <c r="B2861" s="2" t="s">
        <v>688</v>
      </c>
      <c r="C2861" s="2" t="s">
        <v>645</v>
      </c>
      <c r="D2861" s="2" t="s">
        <v>373</v>
      </c>
      <c r="E2861" s="2" t="s">
        <v>170</v>
      </c>
    </row>
    <row r="2862" customFormat="false" ht="15" hidden="false" customHeight="false" outlineLevel="0" collapsed="false">
      <c r="A2862" s="2" t="s">
        <v>309</v>
      </c>
      <c r="B2862" s="2" t="s">
        <v>649</v>
      </c>
      <c r="C2862" s="2" t="s">
        <v>635</v>
      </c>
      <c r="D2862" s="2" t="s">
        <v>487</v>
      </c>
      <c r="E2862" s="2" t="s">
        <v>166</v>
      </c>
    </row>
    <row r="2863" customFormat="false" ht="15" hidden="false" customHeight="false" outlineLevel="0" collapsed="false">
      <c r="A2863" s="2" t="s">
        <v>309</v>
      </c>
      <c r="B2863" s="2" t="s">
        <v>650</v>
      </c>
      <c r="C2863" s="2" t="s">
        <v>635</v>
      </c>
      <c r="D2863" s="2" t="s">
        <v>651</v>
      </c>
      <c r="E2863" s="2" t="s">
        <v>169</v>
      </c>
    </row>
    <row r="2864" customFormat="false" ht="15" hidden="false" customHeight="false" outlineLevel="0" collapsed="false">
      <c r="A2864" s="2" t="s">
        <v>309</v>
      </c>
      <c r="B2864" s="2" t="s">
        <v>652</v>
      </c>
      <c r="C2864" s="2" t="s">
        <v>635</v>
      </c>
      <c r="D2864" s="2" t="s">
        <v>653</v>
      </c>
      <c r="E2864" s="2" t="s">
        <v>169</v>
      </c>
    </row>
    <row r="2865" customFormat="false" ht="15" hidden="false" customHeight="false" outlineLevel="0" collapsed="false">
      <c r="A2865" s="2" t="s">
        <v>309</v>
      </c>
      <c r="B2865" s="2" t="s">
        <v>654</v>
      </c>
      <c r="C2865" s="2" t="s">
        <v>635</v>
      </c>
      <c r="D2865" s="2" t="s">
        <v>655</v>
      </c>
      <c r="E2865" s="2" t="s">
        <v>169</v>
      </c>
    </row>
    <row r="2866" customFormat="false" ht="15" hidden="false" customHeight="false" outlineLevel="0" collapsed="false">
      <c r="A2866" s="2" t="s">
        <v>309</v>
      </c>
      <c r="B2866" s="2" t="s">
        <v>706</v>
      </c>
      <c r="C2866" s="2" t="s">
        <v>635</v>
      </c>
      <c r="D2866" s="2" t="s">
        <v>548</v>
      </c>
      <c r="E2866" s="2" t="s">
        <v>166</v>
      </c>
    </row>
    <row r="2867" customFormat="false" ht="15" hidden="false" customHeight="false" outlineLevel="0" collapsed="false">
      <c r="A2867" s="2" t="s">
        <v>309</v>
      </c>
      <c r="B2867" s="2" t="s">
        <v>656</v>
      </c>
      <c r="C2867" s="2" t="s">
        <v>642</v>
      </c>
      <c r="D2867" s="2" t="s">
        <v>487</v>
      </c>
      <c r="E2867" s="2" t="s">
        <v>166</v>
      </c>
    </row>
    <row r="2868" customFormat="false" ht="15" hidden="false" customHeight="false" outlineLevel="0" collapsed="false">
      <c r="A2868" s="2" t="s">
        <v>309</v>
      </c>
      <c r="B2868" s="2" t="s">
        <v>320</v>
      </c>
      <c r="C2868" s="2" t="s">
        <v>642</v>
      </c>
      <c r="D2868" s="2" t="s">
        <v>657</v>
      </c>
      <c r="E2868" s="2" t="s">
        <v>169</v>
      </c>
    </row>
    <row r="2869" customFormat="false" ht="15" hidden="false" customHeight="false" outlineLevel="0" collapsed="false">
      <c r="A2869" s="2" t="s">
        <v>309</v>
      </c>
      <c r="B2869" s="2" t="s">
        <v>658</v>
      </c>
      <c r="C2869" s="2" t="s">
        <v>642</v>
      </c>
      <c r="D2869" s="2" t="s">
        <v>487</v>
      </c>
      <c r="E2869" s="2" t="s">
        <v>166</v>
      </c>
    </row>
    <row r="2870" customFormat="false" ht="15" hidden="false" customHeight="false" outlineLevel="0" collapsed="false">
      <c r="A2870" s="2" t="s">
        <v>309</v>
      </c>
      <c r="B2870" s="2" t="s">
        <v>324</v>
      </c>
      <c r="C2870" s="2" t="s">
        <v>642</v>
      </c>
      <c r="D2870" s="2" t="s">
        <v>610</v>
      </c>
      <c r="E2870" s="2" t="s">
        <v>166</v>
      </c>
    </row>
    <row r="2871" customFormat="false" ht="15" hidden="false" customHeight="false" outlineLevel="0" collapsed="false">
      <c r="A2871" s="2" t="s">
        <v>309</v>
      </c>
      <c r="B2871" s="2" t="s">
        <v>660</v>
      </c>
      <c r="C2871" s="2" t="s">
        <v>640</v>
      </c>
      <c r="D2871" s="2" t="s">
        <v>355</v>
      </c>
      <c r="E2871" s="2" t="s">
        <v>166</v>
      </c>
    </row>
    <row r="2872" customFormat="false" ht="15" hidden="false" customHeight="false" outlineLevel="0" collapsed="false">
      <c r="A2872" s="2" t="s">
        <v>309</v>
      </c>
      <c r="B2872" s="2" t="s">
        <v>661</v>
      </c>
      <c r="C2872" s="2" t="s">
        <v>641</v>
      </c>
      <c r="D2872" s="2" t="s">
        <v>355</v>
      </c>
      <c r="E2872" s="2" t="s">
        <v>166</v>
      </c>
    </row>
    <row r="2873" customFormat="false" ht="15" hidden="false" customHeight="false" outlineLevel="0" collapsed="false">
      <c r="A2873" s="2" t="s">
        <v>309</v>
      </c>
      <c r="B2873" s="2" t="s">
        <v>662</v>
      </c>
      <c r="C2873" s="2" t="s">
        <v>630</v>
      </c>
      <c r="D2873" s="2" t="s">
        <v>585</v>
      </c>
      <c r="E2873" s="2" t="s">
        <v>167</v>
      </c>
    </row>
    <row r="2874" customFormat="false" ht="15" hidden="false" customHeight="false" outlineLevel="0" collapsed="false">
      <c r="A2874" s="2" t="s">
        <v>309</v>
      </c>
      <c r="B2874" s="2" t="s">
        <v>667</v>
      </c>
      <c r="C2874" s="2" t="s">
        <v>638</v>
      </c>
      <c r="D2874" s="2" t="s">
        <v>668</v>
      </c>
      <c r="E2874" s="2" t="s">
        <v>166</v>
      </c>
    </row>
    <row r="2875" customFormat="false" ht="15" hidden="false" customHeight="false" outlineLevel="0" collapsed="false">
      <c r="A2875" s="2" t="s">
        <v>309</v>
      </c>
      <c r="B2875" s="2" t="s">
        <v>669</v>
      </c>
      <c r="C2875" s="2" t="s">
        <v>636</v>
      </c>
      <c r="D2875" s="2" t="s">
        <v>670</v>
      </c>
      <c r="E2875" s="2" t="s">
        <v>166</v>
      </c>
    </row>
    <row r="2876" customFormat="false" ht="15" hidden="false" customHeight="false" outlineLevel="0" collapsed="false">
      <c r="A2876" s="2" t="s">
        <v>309</v>
      </c>
      <c r="B2876" s="2" t="s">
        <v>671</v>
      </c>
      <c r="C2876" s="2" t="s">
        <v>632</v>
      </c>
      <c r="D2876" s="2" t="s">
        <v>672</v>
      </c>
      <c r="E2876" s="2" t="s">
        <v>166</v>
      </c>
    </row>
    <row r="2877" customFormat="false" ht="15" hidden="false" customHeight="false" outlineLevel="0" collapsed="false">
      <c r="A2877" s="2" t="s">
        <v>309</v>
      </c>
      <c r="B2877" s="2" t="s">
        <v>673</v>
      </c>
      <c r="C2877" s="2" t="s">
        <v>632</v>
      </c>
      <c r="D2877" s="2" t="s">
        <v>523</v>
      </c>
      <c r="E2877" s="2" t="s">
        <v>168</v>
      </c>
    </row>
    <row r="2878" customFormat="false" ht="15" hidden="false" customHeight="false" outlineLevel="0" collapsed="false">
      <c r="A2878" s="2" t="s">
        <v>309</v>
      </c>
      <c r="B2878" s="2" t="s">
        <v>674</v>
      </c>
      <c r="C2878" s="2" t="s">
        <v>632</v>
      </c>
      <c r="D2878" s="2" t="s">
        <v>523</v>
      </c>
      <c r="E2878" s="2" t="s">
        <v>168</v>
      </c>
    </row>
    <row r="2879" customFormat="false" ht="15" hidden="false" customHeight="false" outlineLevel="0" collapsed="false">
      <c r="A2879" s="2" t="s">
        <v>309</v>
      </c>
      <c r="B2879" s="2" t="s">
        <v>692</v>
      </c>
      <c r="C2879" s="2" t="s">
        <v>632</v>
      </c>
      <c r="D2879" s="2" t="s">
        <v>523</v>
      </c>
      <c r="E2879" s="2" t="s">
        <v>168</v>
      </c>
    </row>
    <row r="2880" customFormat="false" ht="15" hidden="false" customHeight="false" outlineLevel="0" collapsed="false">
      <c r="A2880" s="2" t="s">
        <v>309</v>
      </c>
      <c r="B2880" s="2" t="s">
        <v>675</v>
      </c>
      <c r="C2880" s="2" t="s">
        <v>632</v>
      </c>
      <c r="D2880" s="2" t="s">
        <v>523</v>
      </c>
      <c r="E2880" s="2" t="s">
        <v>168</v>
      </c>
    </row>
    <row r="2881" customFormat="false" ht="15" hidden="false" customHeight="false" outlineLevel="0" collapsed="false">
      <c r="A2881" s="2" t="s">
        <v>309</v>
      </c>
      <c r="B2881" s="2" t="s">
        <v>702</v>
      </c>
      <c r="C2881" s="2" t="s">
        <v>632</v>
      </c>
      <c r="D2881" s="2" t="s">
        <v>523</v>
      </c>
      <c r="E2881" s="2" t="s">
        <v>168</v>
      </c>
    </row>
    <row r="2882" customFormat="false" ht="15" hidden="false" customHeight="false" outlineLevel="0" collapsed="false">
      <c r="A2882" s="2" t="s">
        <v>309</v>
      </c>
      <c r="B2882" s="2" t="s">
        <v>412</v>
      </c>
      <c r="C2882" s="2" t="s">
        <v>632</v>
      </c>
      <c r="D2882" s="2" t="s">
        <v>523</v>
      </c>
      <c r="E2882" s="2" t="s">
        <v>168</v>
      </c>
    </row>
    <row r="2883" customFormat="false" ht="15" hidden="false" customHeight="false" outlineLevel="0" collapsed="false">
      <c r="A2883" s="2" t="s">
        <v>309</v>
      </c>
      <c r="B2883" s="2" t="s">
        <v>676</v>
      </c>
      <c r="C2883" s="2" t="s">
        <v>633</v>
      </c>
      <c r="D2883" s="2" t="s">
        <v>677</v>
      </c>
      <c r="E2883" s="2" t="s">
        <v>166</v>
      </c>
    </row>
    <row r="2884" customFormat="false" ht="15" hidden="false" customHeight="false" outlineLevel="0" collapsed="false">
      <c r="A2884" s="2" t="s">
        <v>309</v>
      </c>
      <c r="B2884" s="2" t="s">
        <v>678</v>
      </c>
      <c r="C2884" s="2" t="s">
        <v>634</v>
      </c>
      <c r="D2884" s="2" t="s">
        <v>695</v>
      </c>
      <c r="E2884" s="2" t="s">
        <v>169</v>
      </c>
    </row>
    <row r="2885" customFormat="false" ht="15" hidden="false" customHeight="false" outlineLevel="0" collapsed="false">
      <c r="A2885" s="2" t="s">
        <v>309</v>
      </c>
      <c r="B2885" s="2" t="s">
        <v>680</v>
      </c>
      <c r="C2885" s="2" t="s">
        <v>629</v>
      </c>
      <c r="D2885" s="2" t="s">
        <v>681</v>
      </c>
      <c r="E2885" s="2" t="s">
        <v>169</v>
      </c>
    </row>
    <row r="2886" customFormat="false" ht="15" hidden="false" customHeight="false" outlineLevel="0" collapsed="false">
      <c r="A2886" s="2" t="s">
        <v>309</v>
      </c>
      <c r="B2886" s="2" t="s">
        <v>370</v>
      </c>
      <c r="C2886" s="2" t="s">
        <v>627</v>
      </c>
      <c r="D2886" s="2" t="s">
        <v>682</v>
      </c>
      <c r="E2886" s="2" t="s">
        <v>166</v>
      </c>
    </row>
    <row r="2887" customFormat="false" ht="15" hidden="false" customHeight="false" outlineLevel="0" collapsed="false">
      <c r="A2887" s="2" t="s">
        <v>309</v>
      </c>
      <c r="B2887" s="2" t="s">
        <v>696</v>
      </c>
      <c r="C2887" s="2" t="s">
        <v>627</v>
      </c>
      <c r="D2887" s="2" t="s">
        <v>402</v>
      </c>
      <c r="E2887" s="2" t="s">
        <v>168</v>
      </c>
    </row>
    <row r="2888" customFormat="false" ht="15" hidden="false" customHeight="false" outlineLevel="0" collapsed="false">
      <c r="A2888" s="2" t="s">
        <v>309</v>
      </c>
      <c r="B2888" s="2" t="s">
        <v>697</v>
      </c>
      <c r="C2888" s="2" t="s">
        <v>627</v>
      </c>
      <c r="D2888" s="2" t="s">
        <v>402</v>
      </c>
      <c r="E2888" s="2" t="s">
        <v>168</v>
      </c>
    </row>
    <row r="2889" customFormat="false" ht="15" hidden="false" customHeight="false" outlineLevel="0" collapsed="false">
      <c r="A2889" s="2" t="s">
        <v>309</v>
      </c>
      <c r="B2889" s="2" t="s">
        <v>684</v>
      </c>
      <c r="C2889" s="2" t="s">
        <v>627</v>
      </c>
      <c r="D2889" s="2" t="s">
        <v>402</v>
      </c>
      <c r="E2889" s="2" t="s">
        <v>168</v>
      </c>
    </row>
    <row r="2890" customFormat="false" ht="15" hidden="false" customHeight="false" outlineLevel="0" collapsed="false">
      <c r="A2890" s="2" t="s">
        <v>309</v>
      </c>
      <c r="B2890" s="2" t="s">
        <v>410</v>
      </c>
      <c r="C2890" s="2" t="s">
        <v>627</v>
      </c>
      <c r="D2890" s="2" t="s">
        <v>402</v>
      </c>
      <c r="E2890" s="2" t="s">
        <v>168</v>
      </c>
    </row>
    <row r="2891" customFormat="false" ht="15" hidden="false" customHeight="false" outlineLevel="0" collapsed="false">
      <c r="A2891" s="2" t="s">
        <v>309</v>
      </c>
      <c r="B2891" s="2" t="s">
        <v>686</v>
      </c>
      <c r="C2891" s="2" t="s">
        <v>628</v>
      </c>
      <c r="D2891" s="2" t="s">
        <v>687</v>
      </c>
      <c r="E2891" s="2" t="s">
        <v>166</v>
      </c>
    </row>
    <row r="2892" customFormat="false" ht="15" hidden="false" customHeight="false" outlineLevel="0" collapsed="false">
      <c r="A2892" s="2" t="s">
        <v>309</v>
      </c>
      <c r="B2892" s="2" t="s">
        <v>688</v>
      </c>
      <c r="C2892" s="2" t="s">
        <v>645</v>
      </c>
      <c r="D2892" s="2" t="s">
        <v>373</v>
      </c>
      <c r="E2892" s="2" t="s">
        <v>170</v>
      </c>
    </row>
  </sheetData>
  <autoFilter ref="A1:E28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35.05" hidden="false" customHeight="false" outlineLevel="0" collapsed="false">
      <c r="A1" s="8" t="s">
        <v>155</v>
      </c>
      <c r="B1" s="8" t="s">
        <v>722</v>
      </c>
      <c r="C1" s="8" t="s">
        <v>70</v>
      </c>
      <c r="D1" s="8" t="s">
        <v>723</v>
      </c>
      <c r="E1" s="8" t="s">
        <v>724</v>
      </c>
      <c r="F1" s="8" t="s">
        <v>725</v>
      </c>
    </row>
    <row r="2" customFormat="false" ht="15" hidden="false" customHeight="false" outlineLevel="0" collapsed="false">
      <c r="A2" s="2" t="s">
        <v>172</v>
      </c>
      <c r="B2" s="2" t="s">
        <v>632</v>
      </c>
      <c r="C2" s="2" t="s">
        <v>77</v>
      </c>
      <c r="D2" s="2" t="n">
        <v>1</v>
      </c>
      <c r="E2" s="2" t="n">
        <v>1</v>
      </c>
      <c r="F2" s="2" t="n">
        <v>0</v>
      </c>
    </row>
    <row r="3" customFormat="false" ht="15" hidden="false" customHeight="false" outlineLevel="0" collapsed="false">
      <c r="A3" s="2" t="s">
        <v>172</v>
      </c>
      <c r="B3" s="2" t="s">
        <v>627</v>
      </c>
      <c r="C3" s="2" t="s">
        <v>80</v>
      </c>
      <c r="D3" s="2" t="n">
        <v>1</v>
      </c>
      <c r="E3" s="2" t="n">
        <v>0</v>
      </c>
      <c r="F3" s="2" t="n">
        <v>1</v>
      </c>
    </row>
    <row r="4" customFormat="false" ht="15" hidden="false" customHeight="false" outlineLevel="0" collapsed="false">
      <c r="A4" s="2" t="s">
        <v>176</v>
      </c>
      <c r="B4" s="2" t="s">
        <v>632</v>
      </c>
      <c r="C4" s="2" t="s">
        <v>79</v>
      </c>
      <c r="D4" s="2" t="n">
        <v>1</v>
      </c>
      <c r="E4" s="2" t="n">
        <v>0</v>
      </c>
      <c r="F4" s="2" t="n">
        <v>1</v>
      </c>
    </row>
    <row r="5" customFormat="false" ht="15" hidden="false" customHeight="false" outlineLevel="0" collapsed="false">
      <c r="A5" s="2" t="s">
        <v>176</v>
      </c>
      <c r="B5" s="2" t="s">
        <v>627</v>
      </c>
      <c r="C5" s="2" t="s">
        <v>80</v>
      </c>
      <c r="D5" s="2" t="n">
        <v>1</v>
      </c>
      <c r="E5" s="2" t="n">
        <v>0</v>
      </c>
      <c r="F5" s="2" t="n">
        <v>1</v>
      </c>
    </row>
    <row r="6" customFormat="false" ht="15" hidden="false" customHeight="false" outlineLevel="0" collapsed="false">
      <c r="A6" s="2" t="s">
        <v>179</v>
      </c>
      <c r="B6" s="2" t="s">
        <v>632</v>
      </c>
      <c r="C6" s="2" t="s">
        <v>79</v>
      </c>
      <c r="D6" s="2" t="n">
        <v>1</v>
      </c>
      <c r="E6" s="2" t="n">
        <v>1</v>
      </c>
      <c r="F6" s="2" t="n">
        <v>0</v>
      </c>
    </row>
    <row r="7" customFormat="false" ht="15" hidden="false" customHeight="false" outlineLevel="0" collapsed="false">
      <c r="A7" s="2" t="s">
        <v>179</v>
      </c>
      <c r="B7" s="2" t="s">
        <v>627</v>
      </c>
      <c r="C7" s="2" t="s">
        <v>80</v>
      </c>
      <c r="D7" s="2" t="n">
        <v>1</v>
      </c>
      <c r="E7" s="2" t="n">
        <v>1</v>
      </c>
      <c r="F7" s="2" t="n">
        <v>0</v>
      </c>
    </row>
    <row r="8" customFormat="false" ht="15" hidden="false" customHeight="false" outlineLevel="0" collapsed="false">
      <c r="A8" s="2" t="s">
        <v>181</v>
      </c>
      <c r="B8" s="2" t="s">
        <v>632</v>
      </c>
      <c r="C8" s="2" t="s">
        <v>83</v>
      </c>
      <c r="D8" s="2" t="n">
        <v>1</v>
      </c>
      <c r="E8" s="2" t="n">
        <v>1</v>
      </c>
      <c r="F8" s="2" t="n">
        <v>0</v>
      </c>
    </row>
    <row r="9" customFormat="false" ht="15" hidden="false" customHeight="false" outlineLevel="0" collapsed="false">
      <c r="A9" s="2" t="s">
        <v>181</v>
      </c>
      <c r="B9" s="2" t="s">
        <v>627</v>
      </c>
      <c r="C9" s="2" t="s">
        <v>80</v>
      </c>
      <c r="D9" s="2" t="n">
        <v>1</v>
      </c>
      <c r="E9" s="2" t="n">
        <v>0</v>
      </c>
      <c r="F9" s="2" t="n">
        <v>1</v>
      </c>
    </row>
    <row r="10" customFormat="false" ht="15" hidden="false" customHeight="false" outlineLevel="0" collapsed="false">
      <c r="A10" s="2" t="s">
        <v>183</v>
      </c>
      <c r="B10" s="2" t="s">
        <v>632</v>
      </c>
      <c r="C10" s="2" t="s">
        <v>76</v>
      </c>
      <c r="D10" s="2" t="n">
        <v>1</v>
      </c>
      <c r="E10" s="2" t="n">
        <v>0</v>
      </c>
      <c r="F10" s="2" t="n">
        <v>1</v>
      </c>
    </row>
    <row r="11" customFormat="false" ht="15" hidden="false" customHeight="false" outlineLevel="0" collapsed="false">
      <c r="A11" s="2" t="s">
        <v>183</v>
      </c>
      <c r="B11" s="2" t="s">
        <v>627</v>
      </c>
      <c r="C11" s="2" t="s">
        <v>80</v>
      </c>
      <c r="D11" s="2" t="n">
        <v>1</v>
      </c>
      <c r="E11" s="2" t="n">
        <v>0</v>
      </c>
      <c r="F11" s="2" t="n">
        <v>1</v>
      </c>
    </row>
    <row r="12" customFormat="false" ht="15" hidden="false" customHeight="false" outlineLevel="0" collapsed="false">
      <c r="A12" s="2" t="s">
        <v>185</v>
      </c>
      <c r="B12" s="2" t="s">
        <v>632</v>
      </c>
      <c r="C12" s="2" t="s">
        <v>77</v>
      </c>
      <c r="D12" s="2" t="n">
        <v>1</v>
      </c>
      <c r="E12" s="2" t="n">
        <v>1</v>
      </c>
      <c r="F12" s="2" t="n">
        <v>0</v>
      </c>
    </row>
    <row r="13" customFormat="false" ht="15" hidden="false" customHeight="false" outlineLevel="0" collapsed="false">
      <c r="A13" s="2" t="s">
        <v>185</v>
      </c>
      <c r="B13" s="2" t="s">
        <v>627</v>
      </c>
      <c r="C13" s="2" t="s">
        <v>80</v>
      </c>
      <c r="D13" s="2" t="n">
        <v>1</v>
      </c>
      <c r="E13" s="2" t="n">
        <v>0</v>
      </c>
      <c r="F13" s="2" t="n">
        <v>1</v>
      </c>
    </row>
    <row r="14" customFormat="false" ht="15" hidden="false" customHeight="false" outlineLevel="0" collapsed="false">
      <c r="A14" s="2" t="s">
        <v>187</v>
      </c>
      <c r="B14" s="2" t="s">
        <v>632</v>
      </c>
      <c r="C14" s="2" t="s">
        <v>78</v>
      </c>
      <c r="D14" s="2" t="n">
        <v>1</v>
      </c>
      <c r="E14" s="2" t="n">
        <v>1</v>
      </c>
      <c r="F14" s="2" t="n">
        <v>0</v>
      </c>
    </row>
    <row r="15" customFormat="false" ht="15" hidden="false" customHeight="false" outlineLevel="0" collapsed="false">
      <c r="A15" s="2" t="s">
        <v>187</v>
      </c>
      <c r="B15" s="2" t="s">
        <v>627</v>
      </c>
      <c r="C15" s="2" t="s">
        <v>80</v>
      </c>
      <c r="D15" s="2" t="n">
        <v>1</v>
      </c>
      <c r="E15" s="2" t="n">
        <v>0</v>
      </c>
      <c r="F15" s="2" t="n">
        <v>1</v>
      </c>
    </row>
    <row r="16" customFormat="false" ht="15" hidden="false" customHeight="false" outlineLevel="0" collapsed="false">
      <c r="A16" s="2" t="s">
        <v>190</v>
      </c>
      <c r="B16" s="2" t="s">
        <v>632</v>
      </c>
      <c r="C16" s="2" t="s">
        <v>80</v>
      </c>
      <c r="D16" s="2" t="n">
        <v>1</v>
      </c>
      <c r="E16" s="2" t="n">
        <v>0</v>
      </c>
      <c r="F16" s="2" t="n">
        <v>1</v>
      </c>
    </row>
    <row r="17" customFormat="false" ht="15" hidden="false" customHeight="false" outlineLevel="0" collapsed="false">
      <c r="A17" s="2" t="s">
        <v>190</v>
      </c>
      <c r="B17" s="2" t="s">
        <v>627</v>
      </c>
      <c r="C17" s="2" t="s">
        <v>78</v>
      </c>
      <c r="D17" s="2" t="n">
        <v>1</v>
      </c>
      <c r="E17" s="2" t="n">
        <v>1</v>
      </c>
      <c r="F17" s="2" t="n">
        <v>0</v>
      </c>
    </row>
    <row r="18" customFormat="false" ht="15" hidden="false" customHeight="false" outlineLevel="0" collapsed="false">
      <c r="A18" s="2" t="s">
        <v>192</v>
      </c>
      <c r="B18" s="2" t="s">
        <v>632</v>
      </c>
      <c r="C18" s="2" t="s">
        <v>80</v>
      </c>
      <c r="D18" s="2" t="n">
        <v>1</v>
      </c>
      <c r="E18" s="2" t="n">
        <v>0</v>
      </c>
      <c r="F18" s="2" t="n">
        <v>1</v>
      </c>
    </row>
    <row r="19" customFormat="false" ht="15" hidden="false" customHeight="false" outlineLevel="0" collapsed="false">
      <c r="A19" s="2" t="s">
        <v>192</v>
      </c>
      <c r="B19" s="2" t="s">
        <v>627</v>
      </c>
      <c r="C19" s="2" t="s">
        <v>77</v>
      </c>
      <c r="D19" s="2" t="n">
        <v>1</v>
      </c>
      <c r="E19" s="2" t="n">
        <v>0</v>
      </c>
      <c r="F19" s="2" t="n">
        <v>1</v>
      </c>
    </row>
    <row r="20" customFormat="false" ht="15" hidden="false" customHeight="false" outlineLevel="0" collapsed="false">
      <c r="A20" s="2" t="s">
        <v>196</v>
      </c>
      <c r="B20" s="2" t="s">
        <v>632</v>
      </c>
      <c r="C20" s="2" t="s">
        <v>83</v>
      </c>
      <c r="D20" s="2" t="n">
        <v>1</v>
      </c>
      <c r="E20" s="2" t="n">
        <v>1</v>
      </c>
      <c r="F20" s="2" t="n">
        <v>0</v>
      </c>
    </row>
    <row r="21" customFormat="false" ht="15" hidden="false" customHeight="false" outlineLevel="0" collapsed="false">
      <c r="A21" s="2" t="s">
        <v>196</v>
      </c>
      <c r="B21" s="2" t="s">
        <v>627</v>
      </c>
      <c r="C21" s="2" t="s">
        <v>80</v>
      </c>
      <c r="D21" s="2" t="n">
        <v>0</v>
      </c>
      <c r="E21" s="2" t="n">
        <v>0</v>
      </c>
      <c r="F21" s="2" t="n">
        <v>1</v>
      </c>
    </row>
    <row r="22" customFormat="false" ht="15" hidden="false" customHeight="false" outlineLevel="0" collapsed="false">
      <c r="A22" s="2" t="s">
        <v>198</v>
      </c>
      <c r="B22" s="2" t="s">
        <v>632</v>
      </c>
      <c r="C22" s="2" t="s">
        <v>80</v>
      </c>
      <c r="D22" s="2" t="n">
        <v>1</v>
      </c>
      <c r="E22" s="2" t="n">
        <v>0</v>
      </c>
      <c r="F22" s="2" t="n">
        <v>1</v>
      </c>
    </row>
    <row r="23" customFormat="false" ht="15" hidden="false" customHeight="false" outlineLevel="0" collapsed="false">
      <c r="A23" s="2" t="s">
        <v>198</v>
      </c>
      <c r="B23" s="2" t="s">
        <v>627</v>
      </c>
      <c r="C23" s="2" t="s">
        <v>79</v>
      </c>
      <c r="D23" s="2" t="n">
        <v>1</v>
      </c>
      <c r="E23" s="2" t="n">
        <v>0</v>
      </c>
      <c r="F23" s="2" t="n">
        <v>1</v>
      </c>
    </row>
    <row r="24" customFormat="false" ht="15" hidden="false" customHeight="false" outlineLevel="0" collapsed="false">
      <c r="A24" s="2" t="s">
        <v>200</v>
      </c>
      <c r="B24" s="2" t="s">
        <v>632</v>
      </c>
      <c r="C24" s="2" t="s">
        <v>79</v>
      </c>
      <c r="D24" s="2" t="n">
        <v>1</v>
      </c>
      <c r="E24" s="2" t="n">
        <v>1</v>
      </c>
      <c r="F24" s="2" t="n">
        <v>0</v>
      </c>
    </row>
    <row r="25" customFormat="false" ht="15" hidden="false" customHeight="false" outlineLevel="0" collapsed="false">
      <c r="A25" s="2" t="s">
        <v>200</v>
      </c>
      <c r="B25" s="2" t="s">
        <v>627</v>
      </c>
      <c r="C25" s="2" t="s">
        <v>80</v>
      </c>
      <c r="D25" s="2" t="n">
        <v>1</v>
      </c>
      <c r="E25" s="2" t="n">
        <v>1</v>
      </c>
      <c r="F25" s="2" t="n">
        <v>0</v>
      </c>
    </row>
    <row r="26" customFormat="false" ht="15" hidden="false" customHeight="false" outlineLevel="0" collapsed="false">
      <c r="A26" s="2" t="s">
        <v>203</v>
      </c>
      <c r="B26" s="2" t="s">
        <v>632</v>
      </c>
      <c r="C26" s="2" t="s">
        <v>77</v>
      </c>
      <c r="D26" s="2" t="n">
        <v>1</v>
      </c>
      <c r="E26" s="2" t="n">
        <v>0</v>
      </c>
      <c r="F26" s="2" t="n">
        <v>1</v>
      </c>
    </row>
    <row r="27" customFormat="false" ht="15" hidden="false" customHeight="false" outlineLevel="0" collapsed="false">
      <c r="A27" s="2" t="s">
        <v>203</v>
      </c>
      <c r="B27" s="2" t="s">
        <v>627</v>
      </c>
      <c r="C27" s="2" t="s">
        <v>80</v>
      </c>
      <c r="D27" s="2" t="n">
        <v>1</v>
      </c>
      <c r="E27" s="2" t="n">
        <v>0</v>
      </c>
      <c r="F27" s="2" t="n">
        <v>1</v>
      </c>
    </row>
    <row r="28" customFormat="false" ht="15" hidden="false" customHeight="false" outlineLevel="0" collapsed="false">
      <c r="A28" s="2" t="s">
        <v>205</v>
      </c>
      <c r="B28" s="2" t="s">
        <v>632</v>
      </c>
      <c r="C28" s="2" t="s">
        <v>80</v>
      </c>
      <c r="D28" s="2" t="n">
        <v>1</v>
      </c>
      <c r="E28" s="2" t="n">
        <v>0</v>
      </c>
      <c r="F28" s="2" t="n">
        <v>1</v>
      </c>
    </row>
    <row r="29" customFormat="false" ht="15" hidden="false" customHeight="false" outlineLevel="0" collapsed="false">
      <c r="A29" s="2" t="s">
        <v>205</v>
      </c>
      <c r="B29" s="2" t="s">
        <v>627</v>
      </c>
      <c r="C29" s="2" t="s">
        <v>76</v>
      </c>
      <c r="D29" s="2" t="n">
        <v>1</v>
      </c>
      <c r="E29" s="2" t="n">
        <v>1</v>
      </c>
      <c r="F29" s="2" t="n">
        <v>0</v>
      </c>
    </row>
    <row r="30" customFormat="false" ht="15" hidden="false" customHeight="false" outlineLevel="0" collapsed="false">
      <c r="A30" s="2" t="s">
        <v>208</v>
      </c>
      <c r="B30" s="2" t="s">
        <v>632</v>
      </c>
      <c r="C30" s="2" t="s">
        <v>83</v>
      </c>
      <c r="D30" s="2" t="n">
        <v>1</v>
      </c>
      <c r="E30" s="2" t="n">
        <v>1</v>
      </c>
      <c r="F30" s="2" t="n">
        <v>0</v>
      </c>
    </row>
    <row r="31" customFormat="false" ht="15" hidden="false" customHeight="false" outlineLevel="0" collapsed="false">
      <c r="A31" s="2" t="s">
        <v>208</v>
      </c>
      <c r="B31" s="2" t="s">
        <v>627</v>
      </c>
      <c r="C31" s="2" t="s">
        <v>80</v>
      </c>
      <c r="D31" s="2" t="n">
        <v>1</v>
      </c>
      <c r="E31" s="2" t="n">
        <v>0</v>
      </c>
      <c r="F31" s="2" t="n">
        <v>1</v>
      </c>
    </row>
    <row r="32" customFormat="false" ht="15" hidden="false" customHeight="false" outlineLevel="0" collapsed="false">
      <c r="A32" s="2" t="s">
        <v>209</v>
      </c>
      <c r="B32" s="2" t="s">
        <v>632</v>
      </c>
      <c r="C32" s="2" t="s">
        <v>76</v>
      </c>
      <c r="D32" s="2" t="n">
        <v>1</v>
      </c>
      <c r="E32" s="2" t="n">
        <v>0</v>
      </c>
      <c r="F32" s="2" t="n">
        <v>1</v>
      </c>
    </row>
    <row r="33" customFormat="false" ht="15" hidden="false" customHeight="false" outlineLevel="0" collapsed="false">
      <c r="A33" s="2" t="s">
        <v>209</v>
      </c>
      <c r="B33" s="2" t="s">
        <v>627</v>
      </c>
      <c r="C33" s="2" t="s">
        <v>80</v>
      </c>
      <c r="D33" s="2" t="n">
        <v>1</v>
      </c>
      <c r="E33" s="2" t="n">
        <v>0</v>
      </c>
      <c r="F33" s="2" t="n">
        <v>1</v>
      </c>
    </row>
    <row r="34" customFormat="false" ht="15" hidden="false" customHeight="false" outlineLevel="0" collapsed="false">
      <c r="A34" s="2" t="s">
        <v>210</v>
      </c>
      <c r="B34" s="2" t="s">
        <v>632</v>
      </c>
      <c r="C34" s="2" t="s">
        <v>80</v>
      </c>
      <c r="D34" s="2" t="n">
        <v>1</v>
      </c>
      <c r="E34" s="2" t="n">
        <v>0</v>
      </c>
      <c r="F34" s="2" t="n">
        <v>1</v>
      </c>
    </row>
    <row r="35" customFormat="false" ht="15" hidden="false" customHeight="false" outlineLevel="0" collapsed="false">
      <c r="A35" s="2" t="s">
        <v>210</v>
      </c>
      <c r="B35" s="2" t="s">
        <v>627</v>
      </c>
      <c r="C35" s="2" t="s">
        <v>83</v>
      </c>
      <c r="D35" s="2" t="n">
        <v>1</v>
      </c>
      <c r="E35" s="2" t="n">
        <v>1</v>
      </c>
      <c r="F35" s="2" t="n">
        <v>0</v>
      </c>
    </row>
    <row r="36" customFormat="false" ht="15" hidden="false" customHeight="false" outlineLevel="0" collapsed="false">
      <c r="A36" s="2" t="s">
        <v>212</v>
      </c>
      <c r="B36" s="2" t="s">
        <v>632</v>
      </c>
      <c r="C36" s="2" t="s">
        <v>83</v>
      </c>
      <c r="D36" s="2" t="n">
        <v>1</v>
      </c>
      <c r="E36" s="2" t="n">
        <v>1</v>
      </c>
      <c r="F36" s="2" t="n">
        <v>0</v>
      </c>
    </row>
    <row r="37" customFormat="false" ht="15" hidden="false" customHeight="false" outlineLevel="0" collapsed="false">
      <c r="A37" s="2" t="s">
        <v>212</v>
      </c>
      <c r="B37" s="2" t="s">
        <v>627</v>
      </c>
      <c r="C37" s="2" t="s">
        <v>80</v>
      </c>
      <c r="D37" s="2" t="n">
        <v>1</v>
      </c>
      <c r="E37" s="2" t="n">
        <v>1</v>
      </c>
      <c r="F37" s="2" t="n">
        <v>0</v>
      </c>
    </row>
    <row r="38" customFormat="false" ht="15" hidden="false" customHeight="false" outlineLevel="0" collapsed="false">
      <c r="A38" s="2" t="s">
        <v>214</v>
      </c>
      <c r="B38" s="2" t="s">
        <v>632</v>
      </c>
      <c r="C38" s="2" t="s">
        <v>76</v>
      </c>
      <c r="D38" s="2" t="n">
        <v>1</v>
      </c>
      <c r="E38" s="2" t="n">
        <v>0</v>
      </c>
      <c r="F38" s="2" t="n">
        <v>1</v>
      </c>
    </row>
    <row r="39" customFormat="false" ht="15" hidden="false" customHeight="false" outlineLevel="0" collapsed="false">
      <c r="A39" s="2" t="s">
        <v>214</v>
      </c>
      <c r="B39" s="2" t="s">
        <v>627</v>
      </c>
      <c r="C39" s="2" t="s">
        <v>80</v>
      </c>
      <c r="D39" s="2" t="n">
        <v>1</v>
      </c>
      <c r="E39" s="2" t="n">
        <v>1</v>
      </c>
      <c r="F39" s="2" t="n">
        <v>0</v>
      </c>
    </row>
    <row r="40" customFormat="false" ht="15" hidden="false" customHeight="false" outlineLevel="0" collapsed="false">
      <c r="A40" s="2" t="s">
        <v>216</v>
      </c>
      <c r="B40" s="2" t="s">
        <v>632</v>
      </c>
      <c r="C40" s="2" t="s">
        <v>83</v>
      </c>
      <c r="D40" s="2" t="n">
        <v>1</v>
      </c>
      <c r="E40" s="2" t="n">
        <v>1</v>
      </c>
      <c r="F40" s="2" t="n">
        <v>0</v>
      </c>
    </row>
    <row r="41" customFormat="false" ht="15" hidden="false" customHeight="false" outlineLevel="0" collapsed="false">
      <c r="A41" s="2" t="s">
        <v>216</v>
      </c>
      <c r="B41" s="2" t="s">
        <v>627</v>
      </c>
      <c r="C41" s="2" t="s">
        <v>80</v>
      </c>
      <c r="D41" s="2" t="n">
        <v>1</v>
      </c>
      <c r="E41" s="2" t="n">
        <v>0</v>
      </c>
      <c r="F41" s="2" t="n">
        <v>1</v>
      </c>
    </row>
    <row r="42" customFormat="false" ht="15" hidden="false" customHeight="false" outlineLevel="0" collapsed="false">
      <c r="A42" s="2" t="s">
        <v>218</v>
      </c>
      <c r="B42" s="2" t="s">
        <v>632</v>
      </c>
      <c r="C42" s="2" t="s">
        <v>81</v>
      </c>
      <c r="D42" s="2" t="n">
        <v>1</v>
      </c>
      <c r="E42" s="2" t="n">
        <v>0</v>
      </c>
      <c r="F42" s="2" t="n">
        <v>1</v>
      </c>
    </row>
    <row r="43" customFormat="false" ht="15" hidden="false" customHeight="false" outlineLevel="0" collapsed="false">
      <c r="A43" s="2" t="s">
        <v>218</v>
      </c>
      <c r="B43" s="2" t="s">
        <v>627</v>
      </c>
      <c r="C43" s="2" t="s">
        <v>80</v>
      </c>
      <c r="D43" s="2" t="n">
        <v>1</v>
      </c>
      <c r="E43" s="2" t="n">
        <v>0</v>
      </c>
      <c r="F43" s="2" t="n">
        <v>1</v>
      </c>
    </row>
    <row r="44" customFormat="false" ht="15" hidden="false" customHeight="false" outlineLevel="0" collapsed="false">
      <c r="A44" s="2" t="s">
        <v>221</v>
      </c>
      <c r="B44" s="2" t="s">
        <v>632</v>
      </c>
      <c r="C44" s="2" t="s">
        <v>79</v>
      </c>
      <c r="D44" s="2" t="n">
        <v>1</v>
      </c>
      <c r="E44" s="2" t="n">
        <v>1</v>
      </c>
      <c r="F44" s="2" t="n">
        <v>0</v>
      </c>
    </row>
    <row r="45" customFormat="false" ht="15" hidden="false" customHeight="false" outlineLevel="0" collapsed="false">
      <c r="A45" s="2" t="s">
        <v>221</v>
      </c>
      <c r="B45" s="2" t="s">
        <v>627</v>
      </c>
      <c r="C45" s="2" t="s">
        <v>80</v>
      </c>
      <c r="D45" s="2" t="n">
        <v>1</v>
      </c>
      <c r="E45" s="2" t="n">
        <v>0</v>
      </c>
      <c r="F45" s="2" t="n">
        <v>1</v>
      </c>
    </row>
    <row r="46" customFormat="false" ht="15" hidden="false" customHeight="false" outlineLevel="0" collapsed="false">
      <c r="A46" s="2" t="s">
        <v>223</v>
      </c>
      <c r="B46" s="2" t="s">
        <v>632</v>
      </c>
      <c r="C46" s="2" t="s">
        <v>83</v>
      </c>
      <c r="D46" s="2" t="n">
        <v>1</v>
      </c>
      <c r="E46" s="2" t="n">
        <v>1</v>
      </c>
      <c r="F46" s="2" t="n">
        <v>0</v>
      </c>
    </row>
    <row r="47" customFormat="false" ht="15" hidden="false" customHeight="false" outlineLevel="0" collapsed="false">
      <c r="A47" s="2" t="s">
        <v>223</v>
      </c>
      <c r="B47" s="2" t="s">
        <v>627</v>
      </c>
      <c r="C47" s="2" t="s">
        <v>80</v>
      </c>
      <c r="D47" s="2" t="n">
        <v>1</v>
      </c>
      <c r="E47" s="2" t="n">
        <v>0</v>
      </c>
      <c r="F47" s="2" t="n">
        <v>1</v>
      </c>
    </row>
    <row r="48" customFormat="false" ht="15" hidden="false" customHeight="false" outlineLevel="0" collapsed="false">
      <c r="A48" s="2" t="s">
        <v>225</v>
      </c>
      <c r="B48" s="2" t="s">
        <v>632</v>
      </c>
      <c r="C48" s="2" t="s">
        <v>79</v>
      </c>
      <c r="D48" s="2" t="n">
        <v>1</v>
      </c>
      <c r="E48" s="2" t="n">
        <v>1</v>
      </c>
      <c r="F48" s="2" t="n">
        <v>0</v>
      </c>
    </row>
    <row r="49" customFormat="false" ht="15" hidden="false" customHeight="false" outlineLevel="0" collapsed="false">
      <c r="A49" s="2" t="s">
        <v>225</v>
      </c>
      <c r="B49" s="2" t="s">
        <v>627</v>
      </c>
      <c r="C49" s="2" t="s">
        <v>80</v>
      </c>
      <c r="D49" s="2" t="n">
        <v>1</v>
      </c>
      <c r="E49" s="2" t="n">
        <v>0</v>
      </c>
      <c r="F49" s="2" t="n">
        <v>1</v>
      </c>
    </row>
    <row r="50" customFormat="false" ht="15" hidden="false" customHeight="false" outlineLevel="0" collapsed="false">
      <c r="A50" s="2" t="s">
        <v>226</v>
      </c>
      <c r="B50" s="2" t="s">
        <v>632</v>
      </c>
      <c r="C50" s="2" t="s">
        <v>76</v>
      </c>
      <c r="D50" s="2" t="n">
        <v>1</v>
      </c>
      <c r="E50" s="2" t="n">
        <v>0</v>
      </c>
      <c r="F50" s="2" t="n">
        <v>1</v>
      </c>
    </row>
    <row r="51" customFormat="false" ht="15" hidden="false" customHeight="false" outlineLevel="0" collapsed="false">
      <c r="A51" s="2" t="s">
        <v>226</v>
      </c>
      <c r="B51" s="2" t="s">
        <v>627</v>
      </c>
      <c r="C51" s="2" t="s">
        <v>80</v>
      </c>
      <c r="D51" s="2" t="n">
        <v>1</v>
      </c>
      <c r="E51" s="2" t="n">
        <v>0</v>
      </c>
      <c r="F51" s="2" t="n">
        <v>1</v>
      </c>
    </row>
    <row r="52" customFormat="false" ht="15" hidden="false" customHeight="false" outlineLevel="0" collapsed="false">
      <c r="A52" s="2" t="s">
        <v>227</v>
      </c>
      <c r="B52" s="2" t="s">
        <v>632</v>
      </c>
      <c r="C52" s="2" t="s">
        <v>83</v>
      </c>
      <c r="D52" s="2" t="n">
        <v>0</v>
      </c>
      <c r="E52" s="2" t="n">
        <v>1</v>
      </c>
      <c r="F52" s="2" t="n">
        <v>1</v>
      </c>
    </row>
    <row r="53" customFormat="false" ht="15" hidden="false" customHeight="false" outlineLevel="0" collapsed="false">
      <c r="A53" s="2" t="s">
        <v>227</v>
      </c>
      <c r="B53" s="2" t="s">
        <v>627</v>
      </c>
      <c r="C53" s="2" t="s">
        <v>80</v>
      </c>
      <c r="D53" s="2" t="n">
        <v>1</v>
      </c>
      <c r="E53" s="2" t="n">
        <v>0</v>
      </c>
      <c r="F53" s="2" t="n">
        <v>1</v>
      </c>
    </row>
    <row r="54" customFormat="false" ht="15" hidden="false" customHeight="false" outlineLevel="0" collapsed="false">
      <c r="A54" s="2" t="s">
        <v>228</v>
      </c>
      <c r="B54" s="2" t="s">
        <v>632</v>
      </c>
      <c r="C54" s="2" t="s">
        <v>79</v>
      </c>
      <c r="D54" s="2" t="n">
        <v>1</v>
      </c>
      <c r="E54" s="2" t="n">
        <v>1</v>
      </c>
      <c r="F54" s="2" t="n">
        <v>0</v>
      </c>
    </row>
    <row r="55" customFormat="false" ht="15" hidden="false" customHeight="false" outlineLevel="0" collapsed="false">
      <c r="A55" s="2" t="s">
        <v>228</v>
      </c>
      <c r="B55" s="2" t="s">
        <v>627</v>
      </c>
      <c r="C55" s="2" t="s">
        <v>80</v>
      </c>
      <c r="D55" s="2" t="n">
        <v>1</v>
      </c>
      <c r="E55" s="2" t="n">
        <v>0</v>
      </c>
      <c r="F55" s="2" t="n">
        <v>1</v>
      </c>
    </row>
    <row r="56" customFormat="false" ht="15" hidden="false" customHeight="false" outlineLevel="0" collapsed="false">
      <c r="A56" s="2" t="s">
        <v>229</v>
      </c>
      <c r="B56" s="2" t="s">
        <v>632</v>
      </c>
      <c r="C56" s="2" t="s">
        <v>76</v>
      </c>
      <c r="D56" s="2" t="n">
        <v>1</v>
      </c>
      <c r="E56" s="2" t="n">
        <v>1</v>
      </c>
      <c r="F56" s="2" t="n">
        <v>0</v>
      </c>
    </row>
    <row r="57" customFormat="false" ht="15" hidden="false" customHeight="false" outlineLevel="0" collapsed="false">
      <c r="A57" s="2" t="s">
        <v>229</v>
      </c>
      <c r="B57" s="2" t="s">
        <v>627</v>
      </c>
      <c r="C57" s="2" t="s">
        <v>80</v>
      </c>
      <c r="D57" s="2" t="n">
        <v>1</v>
      </c>
      <c r="E57" s="2" t="n">
        <v>0</v>
      </c>
      <c r="F57" s="2" t="n">
        <v>1</v>
      </c>
    </row>
    <row r="58" customFormat="false" ht="15" hidden="false" customHeight="false" outlineLevel="0" collapsed="false">
      <c r="A58" s="2" t="s">
        <v>230</v>
      </c>
      <c r="B58" s="2" t="s">
        <v>632</v>
      </c>
      <c r="C58" s="2" t="s">
        <v>83</v>
      </c>
      <c r="D58" s="2" t="n">
        <v>1</v>
      </c>
      <c r="E58" s="2" t="n">
        <v>1</v>
      </c>
      <c r="F58" s="2" t="n">
        <v>0</v>
      </c>
    </row>
    <row r="59" customFormat="false" ht="15" hidden="false" customHeight="false" outlineLevel="0" collapsed="false">
      <c r="A59" s="2" t="s">
        <v>230</v>
      </c>
      <c r="B59" s="2" t="s">
        <v>627</v>
      </c>
      <c r="C59" s="2" t="s">
        <v>80</v>
      </c>
      <c r="D59" s="2" t="n">
        <v>1</v>
      </c>
      <c r="E59" s="2" t="n">
        <v>0</v>
      </c>
      <c r="F59" s="2" t="n">
        <v>1</v>
      </c>
    </row>
    <row r="60" customFormat="false" ht="15" hidden="false" customHeight="false" outlineLevel="0" collapsed="false">
      <c r="A60" s="2" t="s">
        <v>231</v>
      </c>
      <c r="B60" s="2" t="s">
        <v>632</v>
      </c>
      <c r="C60" s="2" t="s">
        <v>80</v>
      </c>
      <c r="D60" s="2" t="n">
        <v>1</v>
      </c>
      <c r="E60" s="2" t="n">
        <v>1</v>
      </c>
      <c r="F60" s="2" t="n">
        <v>0</v>
      </c>
    </row>
    <row r="61" customFormat="false" ht="15" hidden="false" customHeight="false" outlineLevel="0" collapsed="false">
      <c r="A61" s="2" t="s">
        <v>231</v>
      </c>
      <c r="B61" s="2" t="s">
        <v>627</v>
      </c>
      <c r="C61" s="2" t="s">
        <v>78</v>
      </c>
      <c r="D61" s="2" t="n">
        <v>1</v>
      </c>
      <c r="E61" s="2" t="n">
        <v>1</v>
      </c>
      <c r="F61" s="2" t="n">
        <v>0</v>
      </c>
    </row>
    <row r="62" customFormat="false" ht="15" hidden="false" customHeight="false" outlineLevel="0" collapsed="false">
      <c r="A62" s="2" t="s">
        <v>232</v>
      </c>
      <c r="B62" s="2" t="s">
        <v>632</v>
      </c>
      <c r="C62" s="2" t="s">
        <v>76</v>
      </c>
      <c r="D62" s="2" t="n">
        <v>1</v>
      </c>
      <c r="E62" s="2" t="n">
        <v>0</v>
      </c>
      <c r="F62" s="2" t="n">
        <v>1</v>
      </c>
    </row>
    <row r="63" customFormat="false" ht="15" hidden="false" customHeight="false" outlineLevel="0" collapsed="false">
      <c r="A63" s="2" t="s">
        <v>232</v>
      </c>
      <c r="B63" s="2" t="s">
        <v>627</v>
      </c>
      <c r="C63" s="2" t="s">
        <v>80</v>
      </c>
      <c r="D63" s="2" t="n">
        <v>1</v>
      </c>
      <c r="E63" s="2" t="n">
        <v>0</v>
      </c>
      <c r="F63" s="2" t="n">
        <v>1</v>
      </c>
    </row>
    <row r="64" customFormat="false" ht="15" hidden="false" customHeight="false" outlineLevel="0" collapsed="false">
      <c r="A64" s="2" t="s">
        <v>233</v>
      </c>
      <c r="B64" s="2" t="s">
        <v>632</v>
      </c>
      <c r="C64" s="2" t="s">
        <v>80</v>
      </c>
      <c r="D64" s="2" t="n">
        <v>1</v>
      </c>
      <c r="E64" s="2" t="n">
        <v>0</v>
      </c>
      <c r="F64" s="2" t="n">
        <v>1</v>
      </c>
    </row>
    <row r="65" customFormat="false" ht="15" hidden="false" customHeight="false" outlineLevel="0" collapsed="false">
      <c r="A65" s="2" t="s">
        <v>233</v>
      </c>
      <c r="B65" s="2" t="s">
        <v>627</v>
      </c>
      <c r="C65" s="2" t="s">
        <v>76</v>
      </c>
      <c r="D65" s="2" t="n">
        <v>1</v>
      </c>
      <c r="E65" s="2" t="n">
        <v>1</v>
      </c>
      <c r="F65" s="2" t="n">
        <v>0</v>
      </c>
    </row>
    <row r="66" customFormat="false" ht="15" hidden="false" customHeight="false" outlineLevel="0" collapsed="false">
      <c r="A66" s="2" t="s">
        <v>236</v>
      </c>
      <c r="B66" s="2" t="s">
        <v>632</v>
      </c>
      <c r="C66" s="2" t="s">
        <v>76</v>
      </c>
      <c r="D66" s="2" t="n">
        <v>1</v>
      </c>
      <c r="E66" s="2" t="n">
        <v>0</v>
      </c>
      <c r="F66" s="2" t="n">
        <v>1</v>
      </c>
    </row>
    <row r="67" customFormat="false" ht="15" hidden="false" customHeight="false" outlineLevel="0" collapsed="false">
      <c r="A67" s="2" t="s">
        <v>236</v>
      </c>
      <c r="B67" s="2" t="s">
        <v>627</v>
      </c>
      <c r="C67" s="2" t="s">
        <v>80</v>
      </c>
      <c r="D67" s="2" t="n">
        <v>1</v>
      </c>
      <c r="E67" s="2" t="n">
        <v>0</v>
      </c>
      <c r="F67" s="2" t="n">
        <v>1</v>
      </c>
    </row>
    <row r="68" customFormat="false" ht="15" hidden="false" customHeight="false" outlineLevel="0" collapsed="false">
      <c r="A68" s="2" t="s">
        <v>237</v>
      </c>
      <c r="B68" s="2" t="s">
        <v>632</v>
      </c>
      <c r="C68" s="2" t="s">
        <v>80</v>
      </c>
      <c r="D68" s="2" t="n">
        <v>1</v>
      </c>
      <c r="E68" s="2" t="n">
        <v>0</v>
      </c>
      <c r="F68" s="2" t="n">
        <v>1</v>
      </c>
    </row>
    <row r="69" customFormat="false" ht="15" hidden="false" customHeight="false" outlineLevel="0" collapsed="false">
      <c r="A69" s="2" t="s">
        <v>237</v>
      </c>
      <c r="B69" s="2" t="s">
        <v>627</v>
      </c>
      <c r="C69" s="2" t="s">
        <v>76</v>
      </c>
      <c r="D69" s="2" t="n">
        <v>1</v>
      </c>
      <c r="E69" s="2" t="n">
        <v>0</v>
      </c>
      <c r="F69" s="2" t="n">
        <v>1</v>
      </c>
    </row>
    <row r="70" customFormat="false" ht="15" hidden="false" customHeight="false" outlineLevel="0" collapsed="false">
      <c r="A70" s="2" t="s">
        <v>239</v>
      </c>
      <c r="B70" s="2" t="s">
        <v>632</v>
      </c>
      <c r="C70" s="2" t="s">
        <v>76</v>
      </c>
      <c r="D70" s="2" t="n">
        <v>1</v>
      </c>
      <c r="E70" s="2" t="n">
        <v>0</v>
      </c>
      <c r="F70" s="2" t="n">
        <v>1</v>
      </c>
    </row>
    <row r="71" customFormat="false" ht="15" hidden="false" customHeight="false" outlineLevel="0" collapsed="false">
      <c r="A71" s="2" t="s">
        <v>239</v>
      </c>
      <c r="B71" s="2" t="s">
        <v>627</v>
      </c>
      <c r="C71" s="2" t="s">
        <v>80</v>
      </c>
      <c r="D71" s="2" t="n">
        <v>1</v>
      </c>
      <c r="E71" s="2" t="n">
        <v>1</v>
      </c>
      <c r="F71" s="2" t="n">
        <v>0</v>
      </c>
    </row>
    <row r="72" customFormat="false" ht="15" hidden="false" customHeight="false" outlineLevel="0" collapsed="false">
      <c r="A72" s="2" t="s">
        <v>240</v>
      </c>
      <c r="B72" s="2" t="s">
        <v>632</v>
      </c>
      <c r="C72" s="2" t="s">
        <v>80</v>
      </c>
      <c r="D72" s="2" t="n">
        <v>1</v>
      </c>
      <c r="E72" s="2" t="n">
        <v>0</v>
      </c>
      <c r="F72" s="2" t="n">
        <v>1</v>
      </c>
    </row>
    <row r="73" customFormat="false" ht="15" hidden="false" customHeight="false" outlineLevel="0" collapsed="false">
      <c r="A73" s="2" t="s">
        <v>240</v>
      </c>
      <c r="B73" s="2" t="s">
        <v>627</v>
      </c>
      <c r="C73" s="2" t="s">
        <v>82</v>
      </c>
      <c r="D73" s="2" t="n">
        <v>1</v>
      </c>
      <c r="E73" s="2" t="n">
        <v>1</v>
      </c>
      <c r="F73" s="2" t="n">
        <v>0</v>
      </c>
    </row>
    <row r="74" customFormat="false" ht="15" hidden="false" customHeight="false" outlineLevel="0" collapsed="false">
      <c r="A74" s="2" t="s">
        <v>242</v>
      </c>
      <c r="B74" s="2" t="s">
        <v>632</v>
      </c>
      <c r="C74" s="2" t="s">
        <v>79</v>
      </c>
      <c r="D74" s="2" t="n">
        <v>1</v>
      </c>
      <c r="E74" s="2" t="n">
        <v>0</v>
      </c>
      <c r="F74" s="2" t="n">
        <v>1</v>
      </c>
    </row>
    <row r="75" customFormat="false" ht="15" hidden="false" customHeight="false" outlineLevel="0" collapsed="false">
      <c r="A75" s="2" t="s">
        <v>242</v>
      </c>
      <c r="B75" s="2" t="s">
        <v>627</v>
      </c>
      <c r="C75" s="2" t="s">
        <v>80</v>
      </c>
      <c r="D75" s="2" t="n">
        <v>1</v>
      </c>
      <c r="E75" s="2" t="n">
        <v>0</v>
      </c>
      <c r="F75" s="2" t="n">
        <v>1</v>
      </c>
    </row>
    <row r="76" customFormat="false" ht="15" hidden="false" customHeight="false" outlineLevel="0" collapsed="false">
      <c r="A76" s="2" t="s">
        <v>243</v>
      </c>
      <c r="B76" s="2" t="s">
        <v>632</v>
      </c>
      <c r="C76" s="2" t="s">
        <v>76</v>
      </c>
      <c r="D76" s="2" t="n">
        <v>1</v>
      </c>
      <c r="E76" s="2" t="n">
        <v>1</v>
      </c>
      <c r="F76" s="2" t="n">
        <v>0</v>
      </c>
    </row>
    <row r="77" customFormat="false" ht="15" hidden="false" customHeight="false" outlineLevel="0" collapsed="false">
      <c r="A77" s="2" t="s">
        <v>243</v>
      </c>
      <c r="B77" s="2" t="s">
        <v>627</v>
      </c>
      <c r="C77" s="2" t="s">
        <v>80</v>
      </c>
      <c r="D77" s="2" t="n">
        <v>1</v>
      </c>
      <c r="E77" s="2" t="n">
        <v>0</v>
      </c>
      <c r="F77" s="2" t="n">
        <v>1</v>
      </c>
    </row>
    <row r="78" customFormat="false" ht="15" hidden="false" customHeight="false" outlineLevel="0" collapsed="false">
      <c r="A78" s="2" t="s">
        <v>244</v>
      </c>
      <c r="B78" s="2" t="s">
        <v>632</v>
      </c>
      <c r="C78" s="2" t="s">
        <v>78</v>
      </c>
      <c r="D78" s="2" t="n">
        <v>1</v>
      </c>
      <c r="E78" s="2" t="n">
        <v>1</v>
      </c>
      <c r="F78" s="2" t="n">
        <v>0</v>
      </c>
    </row>
    <row r="79" customFormat="false" ht="15" hidden="false" customHeight="false" outlineLevel="0" collapsed="false">
      <c r="A79" s="2" t="s">
        <v>244</v>
      </c>
      <c r="B79" s="2" t="s">
        <v>627</v>
      </c>
      <c r="C79" s="2" t="s">
        <v>80</v>
      </c>
      <c r="D79" s="2" t="n">
        <v>1</v>
      </c>
      <c r="E79" s="2" t="n">
        <v>0</v>
      </c>
      <c r="F79" s="2" t="n">
        <v>1</v>
      </c>
    </row>
    <row r="80" customFormat="false" ht="15" hidden="false" customHeight="false" outlineLevel="0" collapsed="false">
      <c r="A80" s="2" t="s">
        <v>245</v>
      </c>
      <c r="B80" s="2" t="s">
        <v>632</v>
      </c>
      <c r="C80" s="2" t="s">
        <v>80</v>
      </c>
      <c r="D80" s="2" t="n">
        <v>1</v>
      </c>
      <c r="E80" s="2" t="n">
        <v>0</v>
      </c>
      <c r="F80" s="2" t="n">
        <v>1</v>
      </c>
    </row>
    <row r="81" customFormat="false" ht="15" hidden="false" customHeight="false" outlineLevel="0" collapsed="false">
      <c r="A81" s="2" t="s">
        <v>245</v>
      </c>
      <c r="B81" s="2" t="s">
        <v>627</v>
      </c>
      <c r="C81" s="2" t="s">
        <v>77</v>
      </c>
      <c r="D81" s="2" t="n">
        <v>1</v>
      </c>
      <c r="E81" s="2" t="n">
        <v>1</v>
      </c>
      <c r="F81" s="2" t="n">
        <v>0</v>
      </c>
    </row>
    <row r="82" customFormat="false" ht="15" hidden="false" customHeight="false" outlineLevel="0" collapsed="false">
      <c r="A82" s="2" t="s">
        <v>246</v>
      </c>
      <c r="B82" s="2" t="s">
        <v>632</v>
      </c>
      <c r="C82" s="2" t="s">
        <v>79</v>
      </c>
      <c r="D82" s="2" t="n">
        <v>1</v>
      </c>
      <c r="E82" s="2" t="n">
        <v>0</v>
      </c>
      <c r="F82" s="2" t="n">
        <v>1</v>
      </c>
    </row>
    <row r="83" customFormat="false" ht="15" hidden="false" customHeight="false" outlineLevel="0" collapsed="false">
      <c r="A83" s="2" t="s">
        <v>246</v>
      </c>
      <c r="B83" s="2" t="s">
        <v>627</v>
      </c>
      <c r="C83" s="2" t="s">
        <v>80</v>
      </c>
      <c r="D83" s="2" t="n">
        <v>1</v>
      </c>
      <c r="E83" s="2" t="n">
        <v>0</v>
      </c>
      <c r="F83" s="2" t="n">
        <v>1</v>
      </c>
    </row>
    <row r="84" customFormat="false" ht="15" hidden="false" customHeight="false" outlineLevel="0" collapsed="false">
      <c r="A84" s="2" t="s">
        <v>247</v>
      </c>
      <c r="B84" s="2" t="s">
        <v>632</v>
      </c>
      <c r="C84" s="2" t="s">
        <v>80</v>
      </c>
      <c r="D84" s="2" t="n">
        <v>1</v>
      </c>
      <c r="E84" s="2" t="n">
        <v>0</v>
      </c>
      <c r="F84" s="2" t="n">
        <v>1</v>
      </c>
    </row>
    <row r="85" customFormat="false" ht="15" hidden="false" customHeight="false" outlineLevel="0" collapsed="false">
      <c r="A85" s="2" t="s">
        <v>247</v>
      </c>
      <c r="B85" s="2" t="s">
        <v>627</v>
      </c>
      <c r="C85" s="2" t="s">
        <v>78</v>
      </c>
      <c r="D85" s="2" t="n">
        <v>1</v>
      </c>
      <c r="E85" s="2" t="n">
        <v>1</v>
      </c>
      <c r="F85" s="2" t="n">
        <v>0</v>
      </c>
    </row>
    <row r="86" customFormat="false" ht="15" hidden="false" customHeight="false" outlineLevel="0" collapsed="false">
      <c r="A86" s="2" t="s">
        <v>248</v>
      </c>
      <c r="B86" s="2" t="s">
        <v>632</v>
      </c>
      <c r="C86" s="2" t="s">
        <v>76</v>
      </c>
      <c r="D86" s="2" t="n">
        <v>1</v>
      </c>
      <c r="E86" s="2" t="n">
        <v>0</v>
      </c>
      <c r="F86" s="2" t="n">
        <v>1</v>
      </c>
    </row>
    <row r="87" customFormat="false" ht="15" hidden="false" customHeight="false" outlineLevel="0" collapsed="false">
      <c r="A87" s="2" t="s">
        <v>248</v>
      </c>
      <c r="B87" s="2" t="s">
        <v>627</v>
      </c>
      <c r="C87" s="2" t="s">
        <v>80</v>
      </c>
      <c r="D87" s="2" t="n">
        <v>1</v>
      </c>
      <c r="E87" s="2" t="n">
        <v>1</v>
      </c>
      <c r="F87" s="2" t="n">
        <v>0</v>
      </c>
    </row>
    <row r="88" customFormat="false" ht="15" hidden="false" customHeight="false" outlineLevel="0" collapsed="false">
      <c r="A88" s="2" t="s">
        <v>249</v>
      </c>
      <c r="B88" s="2" t="s">
        <v>632</v>
      </c>
      <c r="C88" s="2" t="s">
        <v>83</v>
      </c>
      <c r="D88" s="2" t="n">
        <v>1</v>
      </c>
      <c r="E88" s="2" t="n">
        <v>1</v>
      </c>
      <c r="F88" s="2" t="n">
        <v>0</v>
      </c>
    </row>
    <row r="89" customFormat="false" ht="15" hidden="false" customHeight="false" outlineLevel="0" collapsed="false">
      <c r="A89" s="2" t="s">
        <v>249</v>
      </c>
      <c r="B89" s="2" t="s">
        <v>627</v>
      </c>
      <c r="C89" s="2" t="s">
        <v>80</v>
      </c>
      <c r="D89" s="2" t="n">
        <v>1</v>
      </c>
      <c r="E89" s="2" t="n">
        <v>0</v>
      </c>
      <c r="F89" s="2" t="n">
        <v>1</v>
      </c>
    </row>
    <row r="90" customFormat="false" ht="15" hidden="false" customHeight="false" outlineLevel="0" collapsed="false">
      <c r="A90" s="2" t="s">
        <v>251</v>
      </c>
      <c r="B90" s="2" t="s">
        <v>632</v>
      </c>
      <c r="C90" s="2" t="s">
        <v>76</v>
      </c>
      <c r="D90" s="2" t="n">
        <v>1</v>
      </c>
      <c r="E90" s="2" t="n">
        <v>1</v>
      </c>
      <c r="F90" s="2" t="n">
        <v>0</v>
      </c>
    </row>
    <row r="91" customFormat="false" ht="15" hidden="false" customHeight="false" outlineLevel="0" collapsed="false">
      <c r="A91" s="2" t="s">
        <v>251</v>
      </c>
      <c r="B91" s="2" t="s">
        <v>627</v>
      </c>
      <c r="C91" s="2" t="s">
        <v>80</v>
      </c>
      <c r="D91" s="2" t="n">
        <v>1</v>
      </c>
      <c r="E91" s="2" t="n">
        <v>0</v>
      </c>
      <c r="F91" s="2" t="n">
        <v>1</v>
      </c>
    </row>
    <row r="92" customFormat="false" ht="15" hidden="false" customHeight="false" outlineLevel="0" collapsed="false">
      <c r="A92" s="2" t="s">
        <v>252</v>
      </c>
      <c r="B92" s="2" t="s">
        <v>632</v>
      </c>
      <c r="C92" s="2" t="s">
        <v>83</v>
      </c>
      <c r="D92" s="2" t="n">
        <v>1</v>
      </c>
      <c r="E92" s="2" t="n">
        <v>1</v>
      </c>
      <c r="F92" s="2" t="n">
        <v>0</v>
      </c>
    </row>
    <row r="93" customFormat="false" ht="15" hidden="false" customHeight="false" outlineLevel="0" collapsed="false">
      <c r="A93" s="2" t="s">
        <v>252</v>
      </c>
      <c r="B93" s="2" t="s">
        <v>627</v>
      </c>
      <c r="C93" s="2" t="s">
        <v>80</v>
      </c>
      <c r="D93" s="2" t="n">
        <v>1</v>
      </c>
      <c r="E93" s="2" t="n">
        <v>0</v>
      </c>
      <c r="F93" s="2" t="n">
        <v>1</v>
      </c>
    </row>
    <row r="94" customFormat="false" ht="15" hidden="false" customHeight="false" outlineLevel="0" collapsed="false">
      <c r="A94" s="2" t="s">
        <v>253</v>
      </c>
      <c r="B94" s="2" t="s">
        <v>632</v>
      </c>
      <c r="C94" s="2" t="s">
        <v>80</v>
      </c>
      <c r="D94" s="2" t="n">
        <v>1</v>
      </c>
      <c r="E94" s="2" t="n">
        <v>0</v>
      </c>
      <c r="F94" s="2" t="n">
        <v>1</v>
      </c>
    </row>
    <row r="95" customFormat="false" ht="15" hidden="false" customHeight="false" outlineLevel="0" collapsed="false">
      <c r="A95" s="2" t="s">
        <v>253</v>
      </c>
      <c r="B95" s="2" t="s">
        <v>627</v>
      </c>
      <c r="C95" s="2" t="s">
        <v>83</v>
      </c>
      <c r="D95" s="2" t="n">
        <v>1</v>
      </c>
      <c r="E95" s="2" t="n">
        <v>1</v>
      </c>
      <c r="F95" s="2" t="n">
        <v>0</v>
      </c>
    </row>
    <row r="96" customFormat="false" ht="15" hidden="false" customHeight="false" outlineLevel="0" collapsed="false">
      <c r="A96" s="2" t="s">
        <v>254</v>
      </c>
      <c r="B96" s="2" t="s">
        <v>632</v>
      </c>
      <c r="C96" s="2" t="s">
        <v>80</v>
      </c>
      <c r="D96" s="2" t="n">
        <v>1</v>
      </c>
      <c r="E96" s="2" t="n">
        <v>1</v>
      </c>
      <c r="F96" s="2" t="n">
        <v>0</v>
      </c>
    </row>
    <row r="97" customFormat="false" ht="15" hidden="false" customHeight="false" outlineLevel="0" collapsed="false">
      <c r="A97" s="2" t="s">
        <v>254</v>
      </c>
      <c r="B97" s="2" t="s">
        <v>627</v>
      </c>
      <c r="C97" s="2" t="s">
        <v>77</v>
      </c>
      <c r="D97" s="2" t="n">
        <v>1</v>
      </c>
      <c r="E97" s="2" t="n">
        <v>1</v>
      </c>
      <c r="F97" s="2" t="n">
        <v>0</v>
      </c>
    </row>
    <row r="98" customFormat="false" ht="15" hidden="false" customHeight="false" outlineLevel="0" collapsed="false">
      <c r="A98" s="2" t="s">
        <v>255</v>
      </c>
      <c r="B98" s="2" t="s">
        <v>632</v>
      </c>
      <c r="C98" s="2" t="s">
        <v>81</v>
      </c>
      <c r="D98" s="2" t="n">
        <v>1</v>
      </c>
      <c r="E98" s="2" t="n">
        <v>1</v>
      </c>
      <c r="F98" s="2" t="n">
        <v>0</v>
      </c>
    </row>
    <row r="99" customFormat="false" ht="15" hidden="false" customHeight="false" outlineLevel="0" collapsed="false">
      <c r="A99" s="2" t="s">
        <v>255</v>
      </c>
      <c r="B99" s="2" t="s">
        <v>627</v>
      </c>
      <c r="C99" s="2" t="s">
        <v>80</v>
      </c>
      <c r="D99" s="2" t="n">
        <v>1</v>
      </c>
      <c r="E99" s="2" t="n">
        <v>0</v>
      </c>
      <c r="F99" s="2" t="n">
        <v>1</v>
      </c>
    </row>
    <row r="100" customFormat="false" ht="15" hidden="false" customHeight="false" outlineLevel="0" collapsed="false">
      <c r="A100" s="2" t="s">
        <v>256</v>
      </c>
      <c r="B100" s="2" t="s">
        <v>632</v>
      </c>
      <c r="C100" s="2" t="s">
        <v>80</v>
      </c>
      <c r="D100" s="2" t="n">
        <v>1</v>
      </c>
      <c r="E100" s="2" t="n">
        <v>1</v>
      </c>
      <c r="F100" s="2" t="n">
        <v>0</v>
      </c>
    </row>
    <row r="101" customFormat="false" ht="15" hidden="false" customHeight="false" outlineLevel="0" collapsed="false">
      <c r="A101" s="2" t="s">
        <v>256</v>
      </c>
      <c r="B101" s="2" t="s">
        <v>627</v>
      </c>
      <c r="C101" s="2" t="s">
        <v>82</v>
      </c>
      <c r="D101" s="2" t="n">
        <v>1</v>
      </c>
      <c r="E101" s="2" t="n">
        <v>1</v>
      </c>
      <c r="F101" s="2" t="n">
        <v>0</v>
      </c>
    </row>
    <row r="102" customFormat="false" ht="15" hidden="false" customHeight="false" outlineLevel="0" collapsed="false">
      <c r="A102" s="2" t="s">
        <v>257</v>
      </c>
      <c r="B102" s="2" t="s">
        <v>632</v>
      </c>
      <c r="C102" s="2" t="s">
        <v>80</v>
      </c>
      <c r="D102" s="2" t="n">
        <v>1</v>
      </c>
      <c r="E102" s="2" t="n">
        <v>0</v>
      </c>
      <c r="F102" s="2" t="n">
        <v>1</v>
      </c>
    </row>
    <row r="103" customFormat="false" ht="15" hidden="false" customHeight="false" outlineLevel="0" collapsed="false">
      <c r="A103" s="2" t="s">
        <v>257</v>
      </c>
      <c r="B103" s="2" t="s">
        <v>627</v>
      </c>
      <c r="C103" s="2" t="s">
        <v>77</v>
      </c>
      <c r="D103" s="2" t="n">
        <v>1</v>
      </c>
      <c r="E103" s="2" t="n">
        <v>1</v>
      </c>
      <c r="F103" s="2" t="n">
        <v>0</v>
      </c>
    </row>
    <row r="104" customFormat="false" ht="15" hidden="false" customHeight="false" outlineLevel="0" collapsed="false">
      <c r="A104" s="2" t="s">
        <v>258</v>
      </c>
      <c r="B104" s="2" t="s">
        <v>632</v>
      </c>
      <c r="C104" s="2" t="s">
        <v>76</v>
      </c>
      <c r="D104" s="2" t="n">
        <v>1</v>
      </c>
      <c r="E104" s="2" t="n">
        <v>1</v>
      </c>
      <c r="F104" s="2" t="n">
        <v>0</v>
      </c>
    </row>
    <row r="105" customFormat="false" ht="15" hidden="false" customHeight="false" outlineLevel="0" collapsed="false">
      <c r="A105" s="2" t="s">
        <v>258</v>
      </c>
      <c r="B105" s="2" t="s">
        <v>627</v>
      </c>
      <c r="C105" s="2" t="s">
        <v>80</v>
      </c>
      <c r="D105" s="2" t="n">
        <v>1</v>
      </c>
      <c r="E105" s="2" t="n">
        <v>1</v>
      </c>
      <c r="F105" s="2" t="n">
        <v>0</v>
      </c>
    </row>
    <row r="106" customFormat="false" ht="15" hidden="false" customHeight="false" outlineLevel="0" collapsed="false">
      <c r="A106" s="2" t="s">
        <v>261</v>
      </c>
      <c r="B106" s="2" t="s">
        <v>632</v>
      </c>
      <c r="C106" s="2" t="s">
        <v>81</v>
      </c>
      <c r="D106" s="2" t="n">
        <v>1</v>
      </c>
      <c r="E106" s="2" t="n">
        <v>0</v>
      </c>
      <c r="F106" s="2" t="n">
        <v>1</v>
      </c>
    </row>
    <row r="107" customFormat="false" ht="15" hidden="false" customHeight="false" outlineLevel="0" collapsed="false">
      <c r="A107" s="2" t="s">
        <v>261</v>
      </c>
      <c r="B107" s="2" t="s">
        <v>627</v>
      </c>
      <c r="C107" s="2" t="s">
        <v>80</v>
      </c>
      <c r="D107" s="2" t="n">
        <v>1</v>
      </c>
      <c r="E107" s="2" t="n">
        <v>0</v>
      </c>
      <c r="F107" s="2" t="n">
        <v>1</v>
      </c>
    </row>
    <row r="108" customFormat="false" ht="15" hidden="false" customHeight="false" outlineLevel="0" collapsed="false">
      <c r="A108" s="2" t="s">
        <v>262</v>
      </c>
      <c r="B108" s="2" t="s">
        <v>632</v>
      </c>
      <c r="C108" s="2" t="s">
        <v>76</v>
      </c>
      <c r="D108" s="2" t="n">
        <v>1</v>
      </c>
      <c r="E108" s="2" t="n">
        <v>1</v>
      </c>
      <c r="F108" s="2" t="n">
        <v>0</v>
      </c>
    </row>
    <row r="109" customFormat="false" ht="15" hidden="false" customHeight="false" outlineLevel="0" collapsed="false">
      <c r="A109" s="2" t="s">
        <v>262</v>
      </c>
      <c r="B109" s="2" t="s">
        <v>627</v>
      </c>
      <c r="C109" s="2" t="s">
        <v>80</v>
      </c>
      <c r="D109" s="2" t="n">
        <v>1</v>
      </c>
      <c r="E109" s="2" t="n">
        <v>0</v>
      </c>
      <c r="F109" s="2" t="n">
        <v>1</v>
      </c>
    </row>
    <row r="110" customFormat="false" ht="15" hidden="false" customHeight="false" outlineLevel="0" collapsed="false">
      <c r="A110" s="2" t="s">
        <v>263</v>
      </c>
      <c r="B110" s="2" t="s">
        <v>632</v>
      </c>
      <c r="C110" s="2" t="s">
        <v>80</v>
      </c>
      <c r="D110" s="2" t="n">
        <v>1</v>
      </c>
      <c r="E110" s="2" t="n">
        <v>0</v>
      </c>
      <c r="F110" s="2" t="n">
        <v>1</v>
      </c>
    </row>
    <row r="111" customFormat="false" ht="15" hidden="false" customHeight="false" outlineLevel="0" collapsed="false">
      <c r="A111" s="2" t="s">
        <v>263</v>
      </c>
      <c r="B111" s="2" t="s">
        <v>627</v>
      </c>
      <c r="C111" s="2" t="s">
        <v>77</v>
      </c>
      <c r="D111" s="2" t="n">
        <v>1</v>
      </c>
      <c r="E111" s="2" t="n">
        <v>0</v>
      </c>
      <c r="F111" s="2" t="n">
        <v>1</v>
      </c>
    </row>
    <row r="112" customFormat="false" ht="15" hidden="false" customHeight="false" outlineLevel="0" collapsed="false">
      <c r="A112" s="2" t="s">
        <v>266</v>
      </c>
      <c r="B112" s="2" t="s">
        <v>632</v>
      </c>
      <c r="C112" s="2" t="s">
        <v>83</v>
      </c>
      <c r="D112" s="2" t="n">
        <v>1</v>
      </c>
      <c r="E112" s="2" t="n">
        <v>1</v>
      </c>
      <c r="F112" s="2" t="n">
        <v>0</v>
      </c>
    </row>
    <row r="113" customFormat="false" ht="15" hidden="false" customHeight="false" outlineLevel="0" collapsed="false">
      <c r="A113" s="2" t="s">
        <v>266</v>
      </c>
      <c r="B113" s="2" t="s">
        <v>627</v>
      </c>
      <c r="C113" s="2" t="s">
        <v>80</v>
      </c>
      <c r="D113" s="2" t="n">
        <v>1</v>
      </c>
      <c r="E113" s="2" t="n">
        <v>1</v>
      </c>
      <c r="F113" s="2" t="n">
        <v>0</v>
      </c>
    </row>
    <row r="114" customFormat="false" ht="15" hidden="false" customHeight="false" outlineLevel="0" collapsed="false">
      <c r="A114" s="2" t="s">
        <v>267</v>
      </c>
      <c r="B114" s="2" t="s">
        <v>632</v>
      </c>
      <c r="C114" s="2" t="s">
        <v>82</v>
      </c>
      <c r="D114" s="2" t="n">
        <v>1</v>
      </c>
      <c r="E114" s="2" t="n">
        <v>1</v>
      </c>
      <c r="F114" s="2" t="n">
        <v>0</v>
      </c>
    </row>
    <row r="115" customFormat="false" ht="15" hidden="false" customHeight="false" outlineLevel="0" collapsed="false">
      <c r="A115" s="2" t="s">
        <v>267</v>
      </c>
      <c r="B115" s="2" t="s">
        <v>627</v>
      </c>
      <c r="C115" s="2" t="s">
        <v>80</v>
      </c>
      <c r="D115" s="2" t="n">
        <v>1</v>
      </c>
      <c r="E115" s="2" t="n">
        <v>0</v>
      </c>
      <c r="F115" s="2" t="n">
        <v>1</v>
      </c>
    </row>
    <row r="116" customFormat="false" ht="15" hidden="false" customHeight="false" outlineLevel="0" collapsed="false">
      <c r="A116" s="2" t="s">
        <v>269</v>
      </c>
      <c r="B116" s="2" t="s">
        <v>632</v>
      </c>
      <c r="C116" s="2" t="s">
        <v>80</v>
      </c>
      <c r="D116" s="2" t="n">
        <v>1</v>
      </c>
      <c r="E116" s="2" t="n">
        <v>0</v>
      </c>
      <c r="F116" s="2" t="n">
        <v>1</v>
      </c>
    </row>
    <row r="117" customFormat="false" ht="15" hidden="false" customHeight="false" outlineLevel="0" collapsed="false">
      <c r="A117" s="2" t="s">
        <v>269</v>
      </c>
      <c r="B117" s="2" t="s">
        <v>627</v>
      </c>
      <c r="C117" s="2" t="s">
        <v>76</v>
      </c>
      <c r="D117" s="2" t="n">
        <v>1</v>
      </c>
      <c r="E117" s="2" t="n">
        <v>0</v>
      </c>
      <c r="F117" s="2" t="n">
        <v>1</v>
      </c>
    </row>
    <row r="118" customFormat="false" ht="15" hidden="false" customHeight="false" outlineLevel="0" collapsed="false">
      <c r="A118" s="2" t="s">
        <v>270</v>
      </c>
      <c r="B118" s="2" t="s">
        <v>632</v>
      </c>
      <c r="C118" s="2" t="s">
        <v>80</v>
      </c>
      <c r="D118" s="2" t="n">
        <v>1</v>
      </c>
      <c r="E118" s="2" t="n">
        <v>0</v>
      </c>
      <c r="F118" s="2" t="n">
        <v>1</v>
      </c>
    </row>
    <row r="119" customFormat="false" ht="15" hidden="false" customHeight="false" outlineLevel="0" collapsed="false">
      <c r="A119" s="2" t="s">
        <v>270</v>
      </c>
      <c r="B119" s="2" t="s">
        <v>627</v>
      </c>
      <c r="C119" s="2" t="s">
        <v>76</v>
      </c>
      <c r="D119" s="2" t="n">
        <v>1</v>
      </c>
      <c r="E119" s="2" t="n">
        <v>1</v>
      </c>
      <c r="F119" s="2" t="n">
        <v>0</v>
      </c>
    </row>
    <row r="120" customFormat="false" ht="15" hidden="false" customHeight="false" outlineLevel="0" collapsed="false">
      <c r="A120" s="2" t="s">
        <v>272</v>
      </c>
      <c r="B120" s="2" t="s">
        <v>632</v>
      </c>
      <c r="C120" s="2" t="s">
        <v>76</v>
      </c>
      <c r="D120" s="2" t="n">
        <v>1</v>
      </c>
      <c r="E120" s="2" t="n">
        <v>0</v>
      </c>
      <c r="F120" s="2" t="n">
        <v>1</v>
      </c>
    </row>
    <row r="121" customFormat="false" ht="15" hidden="false" customHeight="false" outlineLevel="0" collapsed="false">
      <c r="A121" s="2" t="s">
        <v>272</v>
      </c>
      <c r="B121" s="2" t="s">
        <v>627</v>
      </c>
      <c r="C121" s="2" t="s">
        <v>80</v>
      </c>
      <c r="D121" s="2" t="n">
        <v>1</v>
      </c>
      <c r="E121" s="2" t="n">
        <v>0</v>
      </c>
      <c r="F121" s="2" t="n">
        <v>1</v>
      </c>
    </row>
    <row r="122" customFormat="false" ht="15" hidden="false" customHeight="false" outlineLevel="0" collapsed="false">
      <c r="A122" s="2" t="s">
        <v>273</v>
      </c>
      <c r="B122" s="2" t="s">
        <v>632</v>
      </c>
      <c r="C122" s="2" t="s">
        <v>80</v>
      </c>
      <c r="D122" s="2" t="n">
        <v>1</v>
      </c>
      <c r="E122" s="2" t="n">
        <v>0</v>
      </c>
      <c r="F122" s="2" t="n">
        <v>1</v>
      </c>
    </row>
    <row r="123" customFormat="false" ht="15" hidden="false" customHeight="false" outlineLevel="0" collapsed="false">
      <c r="A123" s="2" t="s">
        <v>273</v>
      </c>
      <c r="B123" s="2" t="s">
        <v>627</v>
      </c>
      <c r="C123" s="2" t="s">
        <v>78</v>
      </c>
      <c r="D123" s="2" t="n">
        <v>1</v>
      </c>
      <c r="E123" s="2" t="n">
        <v>1</v>
      </c>
      <c r="F123" s="2" t="n">
        <v>0</v>
      </c>
    </row>
    <row r="124" customFormat="false" ht="15" hidden="false" customHeight="false" outlineLevel="0" collapsed="false">
      <c r="A124" s="2" t="s">
        <v>274</v>
      </c>
      <c r="B124" s="2" t="s">
        <v>632</v>
      </c>
      <c r="C124" s="2" t="s">
        <v>83</v>
      </c>
      <c r="D124" s="2" t="n">
        <v>1</v>
      </c>
      <c r="E124" s="2" t="n">
        <v>1</v>
      </c>
      <c r="F124" s="2" t="n">
        <v>0</v>
      </c>
    </row>
    <row r="125" customFormat="false" ht="15" hidden="false" customHeight="false" outlineLevel="0" collapsed="false">
      <c r="A125" s="2" t="s">
        <v>274</v>
      </c>
      <c r="B125" s="2" t="s">
        <v>627</v>
      </c>
      <c r="C125" s="2" t="s">
        <v>80</v>
      </c>
      <c r="D125" s="2" t="n">
        <v>1</v>
      </c>
      <c r="E125" s="2" t="n">
        <v>0</v>
      </c>
      <c r="F125" s="2" t="n">
        <v>1</v>
      </c>
    </row>
    <row r="126" customFormat="false" ht="15" hidden="false" customHeight="false" outlineLevel="0" collapsed="false">
      <c r="A126" s="2" t="s">
        <v>275</v>
      </c>
      <c r="B126" s="2" t="s">
        <v>632</v>
      </c>
      <c r="C126" s="2" t="s">
        <v>76</v>
      </c>
      <c r="D126" s="2" t="n">
        <v>1</v>
      </c>
      <c r="E126" s="2" t="n">
        <v>0</v>
      </c>
      <c r="F126" s="2" t="n">
        <v>1</v>
      </c>
    </row>
    <row r="127" customFormat="false" ht="15" hidden="false" customHeight="false" outlineLevel="0" collapsed="false">
      <c r="A127" s="2" t="s">
        <v>275</v>
      </c>
      <c r="B127" s="2" t="s">
        <v>627</v>
      </c>
      <c r="C127" s="2" t="s">
        <v>80</v>
      </c>
      <c r="D127" s="2" t="n">
        <v>1</v>
      </c>
      <c r="E127" s="2" t="n">
        <v>1</v>
      </c>
      <c r="F127" s="2" t="n">
        <v>0</v>
      </c>
    </row>
    <row r="128" customFormat="false" ht="15" hidden="false" customHeight="false" outlineLevel="0" collapsed="false">
      <c r="A128" s="2" t="s">
        <v>276</v>
      </c>
      <c r="B128" s="2" t="s">
        <v>632</v>
      </c>
      <c r="C128" s="2" t="s">
        <v>76</v>
      </c>
      <c r="D128" s="2" t="n">
        <v>1</v>
      </c>
      <c r="E128" s="2" t="n">
        <v>0</v>
      </c>
      <c r="F128" s="2" t="n">
        <v>1</v>
      </c>
    </row>
    <row r="129" customFormat="false" ht="15" hidden="false" customHeight="false" outlineLevel="0" collapsed="false">
      <c r="A129" s="2" t="s">
        <v>276</v>
      </c>
      <c r="B129" s="2" t="s">
        <v>627</v>
      </c>
      <c r="C129" s="2" t="s">
        <v>80</v>
      </c>
      <c r="D129" s="2" t="n">
        <v>1</v>
      </c>
      <c r="E129" s="2" t="n">
        <v>0</v>
      </c>
      <c r="F129" s="2" t="n">
        <v>1</v>
      </c>
    </row>
    <row r="130" customFormat="false" ht="15" hidden="false" customHeight="false" outlineLevel="0" collapsed="false">
      <c r="A130" s="2" t="s">
        <v>278</v>
      </c>
      <c r="B130" s="2" t="s">
        <v>632</v>
      </c>
      <c r="C130" s="2" t="s">
        <v>76</v>
      </c>
      <c r="D130" s="2" t="n">
        <v>1</v>
      </c>
      <c r="E130" s="2" t="n">
        <v>0</v>
      </c>
      <c r="F130" s="2" t="n">
        <v>1</v>
      </c>
    </row>
    <row r="131" customFormat="false" ht="15" hidden="false" customHeight="false" outlineLevel="0" collapsed="false">
      <c r="A131" s="2" t="s">
        <v>278</v>
      </c>
      <c r="B131" s="2" t="s">
        <v>627</v>
      </c>
      <c r="C131" s="2" t="s">
        <v>80</v>
      </c>
      <c r="D131" s="2" t="n">
        <v>1</v>
      </c>
      <c r="E131" s="2" t="n">
        <v>0</v>
      </c>
      <c r="F131" s="2" t="n">
        <v>1</v>
      </c>
    </row>
    <row r="132" customFormat="false" ht="15" hidden="false" customHeight="false" outlineLevel="0" collapsed="false">
      <c r="A132" s="2" t="s">
        <v>279</v>
      </c>
      <c r="B132" s="2" t="s">
        <v>632</v>
      </c>
      <c r="C132" s="2" t="s">
        <v>78</v>
      </c>
      <c r="D132" s="2" t="n">
        <v>1</v>
      </c>
      <c r="E132" s="2" t="n">
        <v>1</v>
      </c>
      <c r="F132" s="2" t="n">
        <v>0</v>
      </c>
    </row>
    <row r="133" customFormat="false" ht="15" hidden="false" customHeight="false" outlineLevel="0" collapsed="false">
      <c r="A133" s="2" t="s">
        <v>279</v>
      </c>
      <c r="B133" s="2" t="s">
        <v>627</v>
      </c>
      <c r="C133" s="2" t="s">
        <v>80</v>
      </c>
      <c r="D133" s="2" t="n">
        <v>1</v>
      </c>
      <c r="E133" s="2" t="n">
        <v>1</v>
      </c>
      <c r="F133" s="2" t="n">
        <v>0</v>
      </c>
    </row>
    <row r="134" customFormat="false" ht="15" hidden="false" customHeight="false" outlineLevel="0" collapsed="false">
      <c r="A134" s="2" t="s">
        <v>280</v>
      </c>
      <c r="B134" s="2" t="s">
        <v>632</v>
      </c>
      <c r="C134" s="2" t="s">
        <v>80</v>
      </c>
      <c r="D134" s="2" t="n">
        <v>1</v>
      </c>
      <c r="E134" s="2" t="n">
        <v>0</v>
      </c>
      <c r="F134" s="2" t="n">
        <v>1</v>
      </c>
    </row>
    <row r="135" customFormat="false" ht="15" hidden="false" customHeight="false" outlineLevel="0" collapsed="false">
      <c r="A135" s="2" t="s">
        <v>280</v>
      </c>
      <c r="B135" s="2" t="s">
        <v>627</v>
      </c>
      <c r="C135" s="2" t="s">
        <v>79</v>
      </c>
      <c r="D135" s="2" t="n">
        <v>1</v>
      </c>
      <c r="E135" s="2" t="n">
        <v>0</v>
      </c>
      <c r="F135" s="2" t="n">
        <v>1</v>
      </c>
    </row>
    <row r="136" customFormat="false" ht="15" hidden="false" customHeight="false" outlineLevel="0" collapsed="false">
      <c r="A136" s="2" t="s">
        <v>281</v>
      </c>
      <c r="B136" s="2" t="s">
        <v>632</v>
      </c>
      <c r="C136" s="2" t="s">
        <v>80</v>
      </c>
      <c r="D136" s="2" t="n">
        <v>1</v>
      </c>
      <c r="E136" s="2" t="n">
        <v>0</v>
      </c>
      <c r="F136" s="2" t="n">
        <v>1</v>
      </c>
    </row>
    <row r="137" customFormat="false" ht="15" hidden="false" customHeight="false" outlineLevel="0" collapsed="false">
      <c r="A137" s="2" t="s">
        <v>281</v>
      </c>
      <c r="B137" s="2" t="s">
        <v>627</v>
      </c>
      <c r="C137" s="2" t="s">
        <v>82</v>
      </c>
      <c r="D137" s="2" t="n">
        <v>1</v>
      </c>
      <c r="E137" s="2" t="n">
        <v>1</v>
      </c>
      <c r="F137" s="2" t="n">
        <v>0</v>
      </c>
    </row>
    <row r="138" customFormat="false" ht="15" hidden="false" customHeight="false" outlineLevel="0" collapsed="false">
      <c r="A138" s="2" t="s">
        <v>282</v>
      </c>
      <c r="B138" s="2" t="s">
        <v>632</v>
      </c>
      <c r="C138" s="2" t="s">
        <v>81</v>
      </c>
      <c r="D138" s="2" t="n">
        <v>1</v>
      </c>
      <c r="E138" s="2" t="n">
        <v>0</v>
      </c>
      <c r="F138" s="2" t="n">
        <v>1</v>
      </c>
    </row>
    <row r="139" customFormat="false" ht="15" hidden="false" customHeight="false" outlineLevel="0" collapsed="false">
      <c r="A139" s="2" t="s">
        <v>282</v>
      </c>
      <c r="B139" s="2" t="s">
        <v>627</v>
      </c>
      <c r="C139" s="2" t="s">
        <v>80</v>
      </c>
      <c r="D139" s="2" t="n">
        <v>1</v>
      </c>
      <c r="E139" s="2" t="n">
        <v>0</v>
      </c>
      <c r="F139" s="2" t="n">
        <v>1</v>
      </c>
    </row>
    <row r="140" customFormat="false" ht="15" hidden="false" customHeight="false" outlineLevel="0" collapsed="false">
      <c r="A140" s="2" t="s">
        <v>283</v>
      </c>
      <c r="B140" s="2" t="s">
        <v>632</v>
      </c>
      <c r="C140" s="2" t="s">
        <v>83</v>
      </c>
      <c r="D140" s="2" t="n">
        <v>1</v>
      </c>
      <c r="E140" s="2" t="n">
        <v>1</v>
      </c>
      <c r="F140" s="2" t="n">
        <v>0</v>
      </c>
    </row>
    <row r="141" customFormat="false" ht="15" hidden="false" customHeight="false" outlineLevel="0" collapsed="false">
      <c r="A141" s="2" t="s">
        <v>283</v>
      </c>
      <c r="B141" s="2" t="s">
        <v>627</v>
      </c>
      <c r="C141" s="2" t="s">
        <v>80</v>
      </c>
      <c r="D141" s="2" t="n">
        <v>1</v>
      </c>
      <c r="E141" s="2" t="n">
        <v>0</v>
      </c>
      <c r="F141" s="2" t="n">
        <v>1</v>
      </c>
    </row>
    <row r="142" customFormat="false" ht="15" hidden="false" customHeight="false" outlineLevel="0" collapsed="false">
      <c r="A142" s="2" t="s">
        <v>284</v>
      </c>
      <c r="B142" s="2" t="s">
        <v>632</v>
      </c>
      <c r="C142" s="2" t="s">
        <v>78</v>
      </c>
      <c r="D142" s="2" t="n">
        <v>1</v>
      </c>
      <c r="E142" s="2" t="n">
        <v>1</v>
      </c>
      <c r="F142" s="2" t="n">
        <v>0</v>
      </c>
    </row>
    <row r="143" customFormat="false" ht="15" hidden="false" customHeight="false" outlineLevel="0" collapsed="false">
      <c r="A143" s="2" t="s">
        <v>284</v>
      </c>
      <c r="B143" s="2" t="s">
        <v>627</v>
      </c>
      <c r="C143" s="2" t="s">
        <v>80</v>
      </c>
      <c r="D143" s="2" t="n">
        <v>1</v>
      </c>
      <c r="E143" s="2" t="n">
        <v>0</v>
      </c>
      <c r="F143" s="2" t="n">
        <v>1</v>
      </c>
    </row>
    <row r="144" customFormat="false" ht="15" hidden="false" customHeight="false" outlineLevel="0" collapsed="false">
      <c r="A144" s="2" t="s">
        <v>285</v>
      </c>
      <c r="B144" s="2" t="s">
        <v>632</v>
      </c>
      <c r="C144" s="2" t="s">
        <v>80</v>
      </c>
      <c r="D144" s="2" t="n">
        <v>1</v>
      </c>
      <c r="E144" s="2" t="n">
        <v>0</v>
      </c>
      <c r="F144" s="2" t="n">
        <v>1</v>
      </c>
    </row>
    <row r="145" customFormat="false" ht="15" hidden="false" customHeight="false" outlineLevel="0" collapsed="false">
      <c r="A145" s="2" t="s">
        <v>285</v>
      </c>
      <c r="B145" s="2" t="s">
        <v>627</v>
      </c>
      <c r="C145" s="2" t="s">
        <v>82</v>
      </c>
      <c r="D145" s="2" t="n">
        <v>1</v>
      </c>
      <c r="E145" s="2" t="n">
        <v>1</v>
      </c>
      <c r="F145" s="2" t="n">
        <v>0</v>
      </c>
    </row>
    <row r="146" customFormat="false" ht="15" hidden="false" customHeight="false" outlineLevel="0" collapsed="false">
      <c r="A146" s="2" t="s">
        <v>286</v>
      </c>
      <c r="B146" s="2" t="s">
        <v>632</v>
      </c>
      <c r="C146" s="2" t="s">
        <v>79</v>
      </c>
      <c r="D146" s="2" t="n">
        <v>0</v>
      </c>
      <c r="E146" s="2" t="n">
        <v>0</v>
      </c>
      <c r="F146" s="2" t="n">
        <v>1</v>
      </c>
    </row>
    <row r="147" customFormat="false" ht="15" hidden="false" customHeight="false" outlineLevel="0" collapsed="false">
      <c r="A147" s="2" t="s">
        <v>286</v>
      </c>
      <c r="B147" s="2" t="s">
        <v>627</v>
      </c>
      <c r="C147" s="2" t="s">
        <v>80</v>
      </c>
      <c r="D147" s="2" t="n">
        <v>1</v>
      </c>
      <c r="E147" s="2" t="n">
        <v>0</v>
      </c>
      <c r="F147" s="2" t="n">
        <v>1</v>
      </c>
    </row>
    <row r="148" customFormat="false" ht="15" hidden="false" customHeight="false" outlineLevel="0" collapsed="false">
      <c r="A148" s="2" t="s">
        <v>287</v>
      </c>
      <c r="B148" s="2" t="s">
        <v>632</v>
      </c>
      <c r="C148" s="2" t="s">
        <v>83</v>
      </c>
      <c r="D148" s="2" t="n">
        <v>1</v>
      </c>
      <c r="E148" s="2" t="n">
        <v>1</v>
      </c>
      <c r="F148" s="2" t="n">
        <v>0</v>
      </c>
    </row>
    <row r="149" customFormat="false" ht="15" hidden="false" customHeight="false" outlineLevel="0" collapsed="false">
      <c r="A149" s="2" t="s">
        <v>287</v>
      </c>
      <c r="B149" s="2" t="s">
        <v>627</v>
      </c>
      <c r="C149" s="2" t="s">
        <v>80</v>
      </c>
      <c r="D149" s="2" t="n">
        <v>1</v>
      </c>
      <c r="E149" s="2" t="n">
        <v>0</v>
      </c>
      <c r="F149" s="2" t="n">
        <v>1</v>
      </c>
    </row>
    <row r="150" customFormat="false" ht="15" hidden="false" customHeight="false" outlineLevel="0" collapsed="false">
      <c r="A150" s="2" t="s">
        <v>289</v>
      </c>
      <c r="B150" s="2" t="s">
        <v>632</v>
      </c>
      <c r="C150" s="2" t="s">
        <v>80</v>
      </c>
      <c r="D150" s="2" t="n">
        <v>1</v>
      </c>
      <c r="E150" s="2" t="n">
        <v>0</v>
      </c>
      <c r="F150" s="2" t="n">
        <v>1</v>
      </c>
    </row>
    <row r="151" customFormat="false" ht="15" hidden="false" customHeight="false" outlineLevel="0" collapsed="false">
      <c r="A151" s="2" t="s">
        <v>289</v>
      </c>
      <c r="B151" s="2" t="s">
        <v>627</v>
      </c>
      <c r="C151" s="2" t="s">
        <v>79</v>
      </c>
      <c r="D151" s="2" t="n">
        <v>1</v>
      </c>
      <c r="E151" s="2" t="n">
        <v>1</v>
      </c>
      <c r="F151" s="2" t="n">
        <v>0</v>
      </c>
    </row>
    <row r="152" customFormat="false" ht="15" hidden="false" customHeight="false" outlineLevel="0" collapsed="false">
      <c r="A152" s="2" t="s">
        <v>290</v>
      </c>
      <c r="B152" s="2" t="s">
        <v>632</v>
      </c>
      <c r="C152" s="2" t="s">
        <v>83</v>
      </c>
      <c r="D152" s="2" t="n">
        <v>1</v>
      </c>
      <c r="E152" s="2" t="n">
        <v>1</v>
      </c>
      <c r="F152" s="2" t="n">
        <v>0</v>
      </c>
    </row>
    <row r="153" customFormat="false" ht="15" hidden="false" customHeight="false" outlineLevel="0" collapsed="false">
      <c r="A153" s="2" t="s">
        <v>290</v>
      </c>
      <c r="B153" s="2" t="s">
        <v>627</v>
      </c>
      <c r="C153" s="2" t="s">
        <v>80</v>
      </c>
      <c r="D153" s="2" t="n">
        <v>1</v>
      </c>
      <c r="E153" s="2" t="n">
        <v>0</v>
      </c>
      <c r="F153" s="2" t="n">
        <v>1</v>
      </c>
    </row>
    <row r="154" customFormat="false" ht="15" hidden="false" customHeight="false" outlineLevel="0" collapsed="false">
      <c r="A154" s="2" t="s">
        <v>291</v>
      </c>
      <c r="B154" s="2" t="s">
        <v>632</v>
      </c>
      <c r="C154" s="2" t="s">
        <v>80</v>
      </c>
      <c r="D154" s="2" t="n">
        <v>1</v>
      </c>
      <c r="E154" s="2" t="n">
        <v>0</v>
      </c>
      <c r="F154" s="2" t="n">
        <v>1</v>
      </c>
    </row>
    <row r="155" customFormat="false" ht="15" hidden="false" customHeight="false" outlineLevel="0" collapsed="false">
      <c r="A155" s="2" t="s">
        <v>291</v>
      </c>
      <c r="B155" s="2" t="s">
        <v>627</v>
      </c>
      <c r="C155" s="2" t="s">
        <v>78</v>
      </c>
      <c r="D155" s="2" t="n">
        <v>1</v>
      </c>
      <c r="E155" s="2" t="n">
        <v>1</v>
      </c>
      <c r="F155" s="2" t="n">
        <v>0</v>
      </c>
    </row>
    <row r="156" customFormat="false" ht="15" hidden="false" customHeight="false" outlineLevel="0" collapsed="false">
      <c r="A156" s="2" t="s">
        <v>293</v>
      </c>
      <c r="B156" s="2" t="s">
        <v>632</v>
      </c>
      <c r="C156" s="2" t="s">
        <v>83</v>
      </c>
      <c r="D156" s="2" t="n">
        <v>1</v>
      </c>
      <c r="E156" s="2" t="n">
        <v>1</v>
      </c>
      <c r="F156" s="2" t="n">
        <v>0</v>
      </c>
    </row>
    <row r="157" customFormat="false" ht="15" hidden="false" customHeight="false" outlineLevel="0" collapsed="false">
      <c r="A157" s="2" t="s">
        <v>293</v>
      </c>
      <c r="B157" s="2" t="s">
        <v>627</v>
      </c>
      <c r="C157" s="2" t="s">
        <v>80</v>
      </c>
      <c r="D157" s="2" t="n">
        <v>1</v>
      </c>
      <c r="E157" s="2" t="n">
        <v>0</v>
      </c>
      <c r="F157" s="2" t="n">
        <v>1</v>
      </c>
    </row>
    <row r="158" customFormat="false" ht="15" hidden="false" customHeight="false" outlineLevel="0" collapsed="false">
      <c r="A158" s="2" t="s">
        <v>294</v>
      </c>
      <c r="B158" s="2" t="s">
        <v>632</v>
      </c>
      <c r="C158" s="2" t="s">
        <v>83</v>
      </c>
      <c r="D158" s="2" t="n">
        <v>1</v>
      </c>
      <c r="E158" s="2" t="n">
        <v>1</v>
      </c>
      <c r="F158" s="2" t="n">
        <v>0</v>
      </c>
    </row>
    <row r="159" customFormat="false" ht="15" hidden="false" customHeight="false" outlineLevel="0" collapsed="false">
      <c r="A159" s="2" t="s">
        <v>294</v>
      </c>
      <c r="B159" s="2" t="s">
        <v>627</v>
      </c>
      <c r="C159" s="2" t="s">
        <v>80</v>
      </c>
      <c r="D159" s="2" t="n">
        <v>1</v>
      </c>
      <c r="E159" s="2" t="n">
        <v>1</v>
      </c>
      <c r="F159" s="2" t="n">
        <v>0</v>
      </c>
    </row>
    <row r="160" customFormat="false" ht="15" hidden="false" customHeight="false" outlineLevel="0" collapsed="false">
      <c r="A160" s="2" t="s">
        <v>295</v>
      </c>
      <c r="B160" s="2" t="s">
        <v>632</v>
      </c>
      <c r="C160" s="2" t="s">
        <v>81</v>
      </c>
      <c r="D160" s="2" t="n">
        <v>1</v>
      </c>
      <c r="E160" s="2" t="n">
        <v>1</v>
      </c>
      <c r="F160" s="2" t="n">
        <v>0</v>
      </c>
    </row>
    <row r="161" customFormat="false" ht="15" hidden="false" customHeight="false" outlineLevel="0" collapsed="false">
      <c r="A161" s="2" t="s">
        <v>295</v>
      </c>
      <c r="B161" s="2" t="s">
        <v>627</v>
      </c>
      <c r="C161" s="2" t="s">
        <v>80</v>
      </c>
      <c r="D161" s="2" t="n">
        <v>1</v>
      </c>
      <c r="E161" s="2" t="n">
        <v>0</v>
      </c>
      <c r="F161" s="2" t="n">
        <v>1</v>
      </c>
    </row>
    <row r="162" customFormat="false" ht="15" hidden="false" customHeight="false" outlineLevel="0" collapsed="false">
      <c r="A162" s="2" t="s">
        <v>296</v>
      </c>
      <c r="B162" s="2" t="s">
        <v>632</v>
      </c>
      <c r="C162" s="2" t="s">
        <v>76</v>
      </c>
      <c r="D162" s="2" t="n">
        <v>1</v>
      </c>
      <c r="E162" s="2" t="n">
        <v>0</v>
      </c>
      <c r="F162" s="2" t="n">
        <v>1</v>
      </c>
    </row>
    <row r="163" customFormat="false" ht="15" hidden="false" customHeight="false" outlineLevel="0" collapsed="false">
      <c r="A163" s="2" t="s">
        <v>296</v>
      </c>
      <c r="B163" s="2" t="s">
        <v>627</v>
      </c>
      <c r="C163" s="2" t="s">
        <v>80</v>
      </c>
      <c r="D163" s="2" t="n">
        <v>1</v>
      </c>
      <c r="E163" s="2" t="n">
        <v>0</v>
      </c>
      <c r="F163" s="2" t="n">
        <v>1</v>
      </c>
    </row>
    <row r="164" customFormat="false" ht="15" hidden="false" customHeight="false" outlineLevel="0" collapsed="false">
      <c r="A164" s="2" t="s">
        <v>297</v>
      </c>
      <c r="B164" s="2" t="s">
        <v>632</v>
      </c>
      <c r="C164" s="2" t="s">
        <v>76</v>
      </c>
      <c r="D164" s="2" t="n">
        <v>0</v>
      </c>
      <c r="E164" s="2" t="n">
        <v>0</v>
      </c>
      <c r="F164" s="2" t="n">
        <v>1</v>
      </c>
    </row>
    <row r="165" customFormat="false" ht="15" hidden="false" customHeight="false" outlineLevel="0" collapsed="false">
      <c r="A165" s="2" t="s">
        <v>297</v>
      </c>
      <c r="B165" s="2" t="s">
        <v>627</v>
      </c>
      <c r="C165" s="2" t="s">
        <v>80</v>
      </c>
      <c r="D165" s="2" t="n">
        <v>1</v>
      </c>
      <c r="E165" s="2" t="n">
        <v>0</v>
      </c>
      <c r="F165" s="2" t="n">
        <v>1</v>
      </c>
    </row>
    <row r="166" customFormat="false" ht="15" hidden="false" customHeight="false" outlineLevel="0" collapsed="false">
      <c r="A166" s="2" t="s">
        <v>298</v>
      </c>
      <c r="B166" s="2" t="s">
        <v>632</v>
      </c>
      <c r="C166" s="2" t="s">
        <v>80</v>
      </c>
      <c r="D166" s="2" t="n">
        <v>1</v>
      </c>
      <c r="E166" s="2" t="n">
        <v>0</v>
      </c>
      <c r="F166" s="2" t="n">
        <v>1</v>
      </c>
    </row>
    <row r="167" customFormat="false" ht="15" hidden="false" customHeight="false" outlineLevel="0" collapsed="false">
      <c r="A167" s="2" t="s">
        <v>298</v>
      </c>
      <c r="B167" s="2" t="s">
        <v>627</v>
      </c>
      <c r="C167" s="2" t="s">
        <v>77</v>
      </c>
      <c r="D167" s="2" t="n">
        <v>1</v>
      </c>
      <c r="E167" s="2" t="n">
        <v>1</v>
      </c>
      <c r="F167" s="2" t="n">
        <v>0</v>
      </c>
    </row>
    <row r="168" customFormat="false" ht="15" hidden="false" customHeight="false" outlineLevel="0" collapsed="false">
      <c r="A168" s="2" t="s">
        <v>299</v>
      </c>
      <c r="B168" s="2" t="s">
        <v>632</v>
      </c>
      <c r="C168" s="2" t="s">
        <v>78</v>
      </c>
      <c r="D168" s="2" t="n">
        <v>1</v>
      </c>
      <c r="E168" s="2" t="n">
        <v>1</v>
      </c>
      <c r="F168" s="2" t="n">
        <v>0</v>
      </c>
    </row>
    <row r="169" customFormat="false" ht="15" hidden="false" customHeight="false" outlineLevel="0" collapsed="false">
      <c r="A169" s="2" t="s">
        <v>299</v>
      </c>
      <c r="B169" s="2" t="s">
        <v>627</v>
      </c>
      <c r="C169" s="2" t="s">
        <v>80</v>
      </c>
      <c r="D169" s="2" t="n">
        <v>1</v>
      </c>
      <c r="E169" s="2" t="n">
        <v>0</v>
      </c>
      <c r="F169" s="2" t="n">
        <v>1</v>
      </c>
    </row>
    <row r="170" customFormat="false" ht="15" hidden="false" customHeight="false" outlineLevel="0" collapsed="false">
      <c r="A170" s="2" t="s">
        <v>300</v>
      </c>
      <c r="B170" s="2" t="s">
        <v>632</v>
      </c>
      <c r="C170" s="2" t="s">
        <v>80</v>
      </c>
      <c r="D170" s="2" t="n">
        <v>1</v>
      </c>
      <c r="E170" s="2" t="n">
        <v>1</v>
      </c>
      <c r="F170" s="2" t="n">
        <v>0</v>
      </c>
    </row>
    <row r="171" customFormat="false" ht="15" hidden="false" customHeight="false" outlineLevel="0" collapsed="false">
      <c r="A171" s="2" t="s">
        <v>300</v>
      </c>
      <c r="B171" s="2" t="s">
        <v>627</v>
      </c>
      <c r="C171" s="2" t="s">
        <v>76</v>
      </c>
      <c r="D171" s="2" t="n">
        <v>0</v>
      </c>
      <c r="E171" s="2" t="n">
        <v>1</v>
      </c>
      <c r="F171" s="2" t="n">
        <v>1</v>
      </c>
    </row>
    <row r="172" customFormat="false" ht="15" hidden="false" customHeight="false" outlineLevel="0" collapsed="false">
      <c r="A172" s="2" t="s">
        <v>301</v>
      </c>
      <c r="B172" s="2" t="s">
        <v>632</v>
      </c>
      <c r="C172" s="2" t="s">
        <v>76</v>
      </c>
      <c r="D172" s="2" t="n">
        <v>1</v>
      </c>
      <c r="E172" s="2" t="n">
        <v>0</v>
      </c>
      <c r="F172" s="2" t="n">
        <v>1</v>
      </c>
    </row>
    <row r="173" customFormat="false" ht="15" hidden="false" customHeight="false" outlineLevel="0" collapsed="false">
      <c r="A173" s="2" t="s">
        <v>301</v>
      </c>
      <c r="B173" s="2" t="s">
        <v>627</v>
      </c>
      <c r="C173" s="2" t="s">
        <v>80</v>
      </c>
      <c r="D173" s="2" t="n">
        <v>1</v>
      </c>
      <c r="E173" s="2" t="n">
        <v>1</v>
      </c>
      <c r="F173" s="2" t="n">
        <v>0</v>
      </c>
    </row>
    <row r="174" customFormat="false" ht="15" hidden="false" customHeight="false" outlineLevel="0" collapsed="false">
      <c r="A174" s="2" t="s">
        <v>302</v>
      </c>
      <c r="B174" s="2" t="s">
        <v>632</v>
      </c>
      <c r="C174" s="2" t="s">
        <v>80</v>
      </c>
      <c r="D174" s="2" t="n">
        <v>1</v>
      </c>
      <c r="E174" s="2" t="n">
        <v>0</v>
      </c>
      <c r="F174" s="2" t="n">
        <v>1</v>
      </c>
    </row>
    <row r="175" customFormat="false" ht="15" hidden="false" customHeight="false" outlineLevel="0" collapsed="false">
      <c r="A175" s="2" t="s">
        <v>302</v>
      </c>
      <c r="B175" s="2" t="s">
        <v>627</v>
      </c>
      <c r="C175" s="2" t="s">
        <v>76</v>
      </c>
      <c r="D175" s="2" t="n">
        <v>1</v>
      </c>
      <c r="E175" s="2" t="n">
        <v>1</v>
      </c>
      <c r="F175" s="2" t="n">
        <v>0</v>
      </c>
    </row>
    <row r="176" customFormat="false" ht="15" hidden="false" customHeight="false" outlineLevel="0" collapsed="false">
      <c r="A176" s="2" t="s">
        <v>303</v>
      </c>
      <c r="B176" s="2" t="s">
        <v>632</v>
      </c>
      <c r="C176" s="2" t="s">
        <v>83</v>
      </c>
      <c r="D176" s="2" t="n">
        <v>1</v>
      </c>
      <c r="E176" s="2" t="n">
        <v>1</v>
      </c>
      <c r="F176" s="2" t="n">
        <v>0</v>
      </c>
    </row>
    <row r="177" customFormat="false" ht="15" hidden="false" customHeight="false" outlineLevel="0" collapsed="false">
      <c r="A177" s="2" t="s">
        <v>303</v>
      </c>
      <c r="B177" s="2" t="s">
        <v>627</v>
      </c>
      <c r="C177" s="2" t="s">
        <v>80</v>
      </c>
      <c r="D177" s="2" t="n">
        <v>1</v>
      </c>
      <c r="E177" s="2" t="n">
        <v>0</v>
      </c>
      <c r="F177" s="2" t="n">
        <v>1</v>
      </c>
    </row>
    <row r="178" customFormat="false" ht="15" hidden="false" customHeight="false" outlineLevel="0" collapsed="false">
      <c r="A178" s="2" t="s">
        <v>304</v>
      </c>
      <c r="B178" s="2" t="s">
        <v>632</v>
      </c>
      <c r="C178" s="2" t="s">
        <v>77</v>
      </c>
      <c r="D178" s="2" t="n">
        <v>1</v>
      </c>
      <c r="E178" s="2" t="n">
        <v>0</v>
      </c>
      <c r="F178" s="2" t="n">
        <v>1</v>
      </c>
    </row>
    <row r="179" customFormat="false" ht="15" hidden="false" customHeight="false" outlineLevel="0" collapsed="false">
      <c r="A179" s="2" t="s">
        <v>304</v>
      </c>
      <c r="B179" s="2" t="s">
        <v>627</v>
      </c>
      <c r="C179" s="2" t="s">
        <v>80</v>
      </c>
      <c r="D179" s="2" t="n">
        <v>1</v>
      </c>
      <c r="E179" s="2" t="n">
        <v>0</v>
      </c>
      <c r="F179" s="2" t="n">
        <v>1</v>
      </c>
    </row>
    <row r="180" customFormat="false" ht="15" hidden="false" customHeight="false" outlineLevel="0" collapsed="false">
      <c r="A180" s="2" t="s">
        <v>305</v>
      </c>
      <c r="B180" s="2" t="s">
        <v>632</v>
      </c>
      <c r="C180" s="2" t="s">
        <v>79</v>
      </c>
      <c r="D180" s="2" t="n">
        <v>1</v>
      </c>
      <c r="E180" s="2" t="n">
        <v>1</v>
      </c>
      <c r="F180" s="2" t="n">
        <v>0</v>
      </c>
    </row>
    <row r="181" customFormat="false" ht="15" hidden="false" customHeight="false" outlineLevel="0" collapsed="false">
      <c r="A181" s="2" t="s">
        <v>305</v>
      </c>
      <c r="B181" s="2" t="s">
        <v>627</v>
      </c>
      <c r="C181" s="2" t="s">
        <v>80</v>
      </c>
      <c r="D181" s="2" t="n">
        <v>1</v>
      </c>
      <c r="E181" s="2" t="n">
        <v>0</v>
      </c>
      <c r="F181" s="2" t="n">
        <v>1</v>
      </c>
    </row>
    <row r="182" customFormat="false" ht="15" hidden="false" customHeight="false" outlineLevel="0" collapsed="false">
      <c r="A182" s="2" t="s">
        <v>306</v>
      </c>
      <c r="B182" s="2" t="s">
        <v>632</v>
      </c>
      <c r="C182" s="2" t="s">
        <v>79</v>
      </c>
      <c r="D182" s="2" t="n">
        <v>1</v>
      </c>
      <c r="E182" s="2" t="n">
        <v>0</v>
      </c>
      <c r="F182" s="2" t="n">
        <v>1</v>
      </c>
    </row>
    <row r="183" customFormat="false" ht="15" hidden="false" customHeight="false" outlineLevel="0" collapsed="false">
      <c r="A183" s="2" t="s">
        <v>306</v>
      </c>
      <c r="B183" s="2" t="s">
        <v>627</v>
      </c>
      <c r="C183" s="2" t="s">
        <v>80</v>
      </c>
      <c r="D183" s="2" t="n">
        <v>1</v>
      </c>
      <c r="E183" s="2" t="n">
        <v>0</v>
      </c>
      <c r="F183" s="2" t="n">
        <v>1</v>
      </c>
    </row>
    <row r="184" customFormat="false" ht="15" hidden="false" customHeight="false" outlineLevel="0" collapsed="false">
      <c r="A184" s="2" t="s">
        <v>307</v>
      </c>
      <c r="B184" s="2" t="s">
        <v>632</v>
      </c>
      <c r="C184" s="2" t="s">
        <v>83</v>
      </c>
      <c r="D184" s="2" t="n">
        <v>1</v>
      </c>
      <c r="E184" s="2" t="n">
        <v>1</v>
      </c>
      <c r="F184" s="2" t="n">
        <v>0</v>
      </c>
    </row>
    <row r="185" customFormat="false" ht="15" hidden="false" customHeight="false" outlineLevel="0" collapsed="false">
      <c r="A185" s="2" t="s">
        <v>307</v>
      </c>
      <c r="B185" s="2" t="s">
        <v>627</v>
      </c>
      <c r="C185" s="2" t="s">
        <v>80</v>
      </c>
      <c r="D185" s="2" t="n">
        <v>1</v>
      </c>
      <c r="E185" s="2" t="n">
        <v>0</v>
      </c>
      <c r="F185" s="2" t="n">
        <v>1</v>
      </c>
    </row>
    <row r="186" customFormat="false" ht="15" hidden="false" customHeight="false" outlineLevel="0" collapsed="false">
      <c r="A186" s="2" t="s">
        <v>308</v>
      </c>
      <c r="B186" s="2" t="s">
        <v>632</v>
      </c>
      <c r="C186" s="2" t="s">
        <v>80</v>
      </c>
      <c r="D186" s="2" t="n">
        <v>1</v>
      </c>
      <c r="E186" s="2" t="n">
        <v>0</v>
      </c>
      <c r="F186" s="2" t="n">
        <v>1</v>
      </c>
    </row>
    <row r="187" customFormat="false" ht="15" hidden="false" customHeight="false" outlineLevel="0" collapsed="false">
      <c r="A187" s="2" t="s">
        <v>308</v>
      </c>
      <c r="B187" s="2" t="s">
        <v>627</v>
      </c>
      <c r="C187" s="2" t="s">
        <v>82</v>
      </c>
      <c r="D187" s="2" t="n">
        <v>1</v>
      </c>
      <c r="E187" s="2" t="n">
        <v>1</v>
      </c>
      <c r="F187" s="2" t="n">
        <v>0</v>
      </c>
    </row>
    <row r="188" customFormat="false" ht="15" hidden="false" customHeight="false" outlineLevel="0" collapsed="false">
      <c r="A188" s="2" t="s">
        <v>309</v>
      </c>
      <c r="B188" s="2" t="s">
        <v>632</v>
      </c>
      <c r="C188" s="2" t="s">
        <v>83</v>
      </c>
      <c r="D188" s="2" t="n">
        <v>1</v>
      </c>
      <c r="E188" s="2" t="n">
        <v>1</v>
      </c>
      <c r="F188" s="2" t="n">
        <v>0</v>
      </c>
    </row>
    <row r="189" customFormat="false" ht="15" hidden="false" customHeight="false" outlineLevel="0" collapsed="false">
      <c r="A189" s="2" t="s">
        <v>309</v>
      </c>
      <c r="B189" s="2" t="s">
        <v>627</v>
      </c>
      <c r="C189" s="2" t="s">
        <v>80</v>
      </c>
      <c r="D189" s="2" t="n">
        <v>1</v>
      </c>
      <c r="E189" s="2" t="n">
        <v>1</v>
      </c>
      <c r="F189" s="2" t="n">
        <v>0</v>
      </c>
    </row>
  </sheetData>
  <autoFilter ref="A1:F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2026-10-05T05:26:55Z</dcterms:created>
  <dc:creator>openpyxl</dc:creator>
  <dc:description/>
  <dc:language>en-US</dc:language>
  <cp:lastModifiedBy/>
  <dcterms:modified xsi:type="dcterms:W3CDTF">2026-10-05T05:26:57Z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